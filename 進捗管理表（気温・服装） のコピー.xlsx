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5"/>
    <sheet state="visible" name="最低限" sheetId="2" r:id="rId6"/>
    <sheet state="visible" name="支出予測" sheetId="3" r:id="rId7"/>
    <sheet state="visible" name="設計" sheetId="4" r:id="rId8"/>
    <sheet state="visible" name="GitHubコマンド" sheetId="5" r:id="rId9"/>
    <sheet state="visible" name="Claudバージョン" sheetId="6" r:id="rId10"/>
  </sheets>
  <definedNames/>
  <calcPr/>
</workbook>
</file>

<file path=xl/sharedStrings.xml><?xml version="1.0" encoding="utf-8"?>
<sst xmlns="http://schemas.openxmlformats.org/spreadsheetml/2006/main" count="289" uniqueCount="242">
  <si>
    <t>進捗管理表　2026/3/30〜2026/9/30</t>
  </si>
  <si>
    <t>プロジェクトのタイトル</t>
  </si>
  <si>
    <t>気温に応じた服装可視化アプリ</t>
  </si>
  <si>
    <t>プロジェクト メンバー</t>
  </si>
  <si>
    <t>みなと</t>
  </si>
  <si>
    <t>しらほ</t>
  </si>
  <si>
    <t>かいと</t>
  </si>
  <si>
    <t>リリース予定</t>
  </si>
  <si>
    <t>No.</t>
  </si>
  <si>
    <t>タスクのタイトル</t>
  </si>
  <si>
    <t>担当者</t>
  </si>
  <si>
    <t>開始日</t>
  </si>
  <si>
    <t>期限</t>
  </si>
  <si>
    <r>
      <rPr>
        <rFont val="DejaVu Sans"/>
        <b/>
        <color rgb="FF000000"/>
        <sz val="10.0"/>
      </rPr>
      <t>期間</t>
    </r>
    <r>
      <rPr>
        <rFont val="Arial"/>
        <b/>
        <color rgb="FF000000"/>
        <sz val="10.0"/>
      </rPr>
      <t>(</t>
    </r>
    <r>
      <rPr>
        <rFont val="DejaVu Sans"/>
        <b/>
        <color rgb="FF000000"/>
        <sz val="10.0"/>
      </rPr>
      <t>日</t>
    </r>
    <r>
      <rPr>
        <rFont val="Arial"/>
        <b/>
        <color rgb="FF000000"/>
        <sz val="10.0"/>
      </rPr>
      <t>)</t>
    </r>
  </si>
  <si>
    <t>完了率</t>
  </si>
  <si>
    <r>
      <rPr>
        <rFont val="Arial"/>
        <b/>
        <color rgb="FFFFFFFF"/>
        <sz val="10.0"/>
      </rPr>
      <t>3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</si>
  <si>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4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</si>
  <si>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5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</si>
  <si>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6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</si>
  <si>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7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</si>
  <si>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8</t>
    </r>
    <r>
      <rPr>
        <rFont val="DejaVu Sans"/>
        <b/>
        <color rgb="FFFFFFFF"/>
        <sz val="10.0"/>
      </rPr>
      <t>月</t>
    </r>
  </si>
  <si>
    <r>
      <rPr>
        <rFont val="Arial"/>
        <b/>
        <color rgb="FFFFFFFF"/>
        <sz val="10.0"/>
      </rPr>
      <t>9</t>
    </r>
    <r>
      <rPr>
        <rFont val="DejaVu Sans"/>
        <b/>
        <color rgb="FFFFFFFF"/>
        <sz val="10.0"/>
      </rPr>
      <t>月</t>
    </r>
  </si>
  <si>
    <t>1</t>
  </si>
  <si>
    <t>プロジェクトの概念化と前提</t>
  </si>
  <si>
    <t>1.1</t>
  </si>
  <si>
    <t>ターゲット選定</t>
  </si>
  <si>
    <t>全員</t>
  </si>
  <si>
    <t>1.1.1</t>
  </si>
  <si>
    <t>ターゲットに向けたコア機能選定</t>
  </si>
  <si>
    <t>1.2</t>
  </si>
  <si>
    <t>リサーチ</t>
  </si>
  <si>
    <t>検討中</t>
  </si>
  <si>
    <t>1.3</t>
  </si>
  <si>
    <t>予測計画（コスト・スケジュール）</t>
  </si>
  <si>
    <t>1.4</t>
  </si>
  <si>
    <t>サービス名選定</t>
  </si>
  <si>
    <t>1.5</t>
  </si>
  <si>
    <t>利用規約ガイドライン策定</t>
  </si>
  <si>
    <t>1.6</t>
  </si>
  <si>
    <t>使用ツールの選定</t>
  </si>
  <si>
    <t>1.7</t>
  </si>
  <si>
    <t>サービスアイコン作成</t>
  </si>
  <si>
    <t>2</t>
  </si>
  <si>
    <t>サービス開発</t>
  </si>
  <si>
    <t>2.1</t>
  </si>
  <si>
    <t>設計図作成</t>
  </si>
  <si>
    <t>2.2</t>
  </si>
  <si>
    <t>パイプライン構築</t>
  </si>
  <si>
    <t>2.3</t>
  </si>
  <si>
    <t>コア機能開発</t>
  </si>
  <si>
    <t>2.4</t>
  </si>
  <si>
    <t>サブ機能開発</t>
  </si>
  <si>
    <t>2.5</t>
  </si>
  <si>
    <t>事前コンテンツ用意（生成ＡＩ）</t>
  </si>
  <si>
    <t>2.6</t>
  </si>
  <si>
    <t>ログイン画面</t>
  </si>
  <si>
    <t>3</t>
  </si>
  <si>
    <t>利用環境構築</t>
  </si>
  <si>
    <t>3.1</t>
  </si>
  <si>
    <t>天候情報取得先選定</t>
  </si>
  <si>
    <t>3.2</t>
  </si>
  <si>
    <t>ホスティング先の決定</t>
  </si>
  <si>
    <t>3.2.1</t>
  </si>
  <si>
    <t>ドメイン取得・SSL証明</t>
  </si>
  <si>
    <t>3.2.2</t>
  </si>
  <si>
    <t>分析ツール埋め込み（Analytics）</t>
  </si>
  <si>
    <t>3.3</t>
  </si>
  <si>
    <t>セキュリティ対策</t>
  </si>
  <si>
    <t>3.3.1</t>
  </si>
  <si>
    <t>決済基盤の導入</t>
  </si>
  <si>
    <t>4</t>
  </si>
  <si>
    <t>ユーザーテスト審査対策</t>
  </si>
  <si>
    <t>4.1</t>
  </si>
  <si>
    <t>ユーザテスト概要選定</t>
  </si>
  <si>
    <t>4.2</t>
  </si>
  <si>
    <t>機能チェックリスト作成</t>
  </si>
  <si>
    <t>4.3</t>
  </si>
  <si>
    <t>テスト結果確認</t>
  </si>
  <si>
    <t>4.4</t>
  </si>
  <si>
    <t>最終デバック</t>
  </si>
  <si>
    <t>4.5</t>
  </si>
  <si>
    <t>審査対策</t>
  </si>
  <si>
    <t>プロモーションとリリース</t>
  </si>
  <si>
    <t>広告媒体選定</t>
  </si>
  <si>
    <t>ストア選定</t>
  </si>
  <si>
    <t>運用維持コスト再見積もり</t>
  </si>
  <si>
    <t>リリース準備</t>
  </si>
  <si>
    <t>アフィリエイト検討</t>
  </si>
  <si>
    <t>4.6</t>
  </si>
  <si>
    <t>アドセンス検討</t>
  </si>
  <si>
    <t>機能</t>
  </si>
  <si>
    <t>詳細</t>
  </si>
  <si>
    <t>凱斗</t>
  </si>
  <si>
    <t>ログイン機能</t>
  </si>
  <si>
    <t>login.html に Supabase 認証実装</t>
  </si>
  <si>
    <t>5月上旬</t>
  </si>
  <si>
    <t>新規登録機能</t>
  </si>
  <si>
    <t>register.html にサインアップ実装</t>
  </si>
  <si>
    <t>セッション管理</t>
  </si>
  <si>
    <t>ログイン状態保持・自動ログイン</t>
  </si>
  <si>
    <t>5月中旬</t>
  </si>
  <si>
    <t>認証ガード</t>
  </si>
  <si>
    <t>ログインなしで Home に行けないように</t>
  </si>
  <si>
    <t>クローゼット DB 連携</t>
  </si>
  <si>
    <t>localStorage → Supabase に移行</t>
  </si>
  <si>
    <t>5月下旬</t>
  </si>
  <si>
    <t>プロフィール DB 連携</t>
  </si>
  <si>
    <t>ユーザー設定を Supabase に保存</t>
  </si>
  <si>
    <t>天気 API 連携</t>
  </si>
  <si>
    <t>OpenWeather などで実データ取得</t>
  </si>
  <si>
    <t>6月上旬</t>
  </si>
  <si>
    <t>服装推奨ロジック</t>
  </si>
  <si>
    <t>気温×体感×場所で推奨</t>
  </si>
  <si>
    <t>6月中旬</t>
  </si>
  <si>
    <t>コミュニティ投稿機能</t>
  </si>
  <si>
    <t>投稿・閲覧の DB 連携</t>
  </si>
  <si>
    <t>リアクション機能</t>
  </si>
  <si>
    <t>DB に保存・他人と共有</t>
  </si>
  <si>
    <t>6月下旬</t>
  </si>
  <si>
    <t>画像アップロード</t>
  </si>
  <si>
    <t>コーデ写真を Supabase Storage に保存</t>
  </si>
  <si>
    <t>モバイル対応確認</t>
  </si>
  <si>
    <t>iPhone/Android で全機能テスト</t>
  </si>
  <si>
    <t>7月上旬</t>
  </si>
  <si>
    <t>パフォーマンス最適化</t>
  </si>
  <si>
    <t>画像圧縮・読み込み高速化</t>
  </si>
  <si>
    <t>バグ修正</t>
  </si>
  <si>
    <t>QAで検出された問題対応</t>
  </si>
  <si>
    <t>7月中旬</t>
  </si>
  <si>
    <t>本番環境構築</t>
  </si>
  <si>
    <t>Vercel/Netlify デプロイ</t>
  </si>
  <si>
    <t>セキュリティ確認</t>
  </si>
  <si>
    <t>API キー保護・入力検証</t>
  </si>
  <si>
    <t>7月下旬</t>
  </si>
  <si>
    <t>利用規約・プライバシーポリシー</t>
  </si>
  <si>
    <t>法的文書作成</t>
  </si>
  <si>
    <t>最終動作確認</t>
  </si>
  <si>
    <t>全機能を最終チェック</t>
  </si>
  <si>
    <t>本番デプロイ</t>
  </si>
  <si>
    <t>本番環境にリリース</t>
  </si>
  <si>
    <t>モニタリング設定</t>
  </si>
  <si>
    <t>エラー検知・アクセス解析</t>
  </si>
  <si>
    <t>支出</t>
  </si>
  <si>
    <t>合計</t>
  </si>
  <si>
    <t>平均</t>
  </si>
  <si>
    <t>直接支出（共通費用）</t>
  </si>
  <si>
    <t>iOS App Store</t>
  </si>
  <si>
    <t>Google Play Store</t>
  </si>
  <si>
    <t>ドメイン取得</t>
  </si>
  <si>
    <t>サーバー（仮）</t>
  </si>
  <si>
    <t>天候情報</t>
  </si>
  <si>
    <t>広告費用</t>
  </si>
  <si>
    <t>ＡＩツール</t>
  </si>
  <si>
    <t>Gemini plus　かいと</t>
  </si>
  <si>
    <t>Gemini pro　しらほ</t>
  </si>
  <si>
    <t>Gemini pro　みなと</t>
  </si>
  <si>
    <t>chatGPT plus　みなと</t>
  </si>
  <si>
    <t>Claud cord pro　かいと</t>
  </si>
  <si>
    <t>総計</t>
  </si>
  <si>
    <t>superbase</t>
  </si>
  <si>
    <t>データベース</t>
  </si>
  <si>
    <t>Supabase_URL=https://bjqfmfiqzmwezlkjbgfn.supabase.co</t>
  </si>
  <si>
    <t>サーバー</t>
  </si>
  <si>
    <t>Supabase_ANON_KEY=sb_publishable_Olj5M55D1DnHjua7UZkHHA_u49S6Z2O</t>
  </si>
  <si>
    <t>Supabase_SERVICE_KEY=sb_secret_Bp91NLRcdahoadfGUSyK8A_IdmZ_CGz</t>
  </si>
  <si>
    <t>クライアントＩＤ</t>
  </si>
  <si>
    <t>271397219724-qh8cfq22j7vrl6sb7n7rohcrersj9ndh.apps.googleusercontent.com</t>
  </si>
  <si>
    <t>クライアントシークレット</t>
  </si>
  <si>
    <t>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</t>
  </si>
  <si>
    <t>⚠️ 重要な注意点</t>
  </si>
  <si>
    <t>使用ツール</t>
  </si>
  <si>
    <t>JWT トークン管理</t>
  </si>
  <si>
    <t>Gemini</t>
  </si>
  <si>
    <t>localStorage には保存しないこと</t>
  </si>
  <si>
    <t>nanobanana</t>
  </si>
  <si>
    <t>Supabase が自動的に管理します</t>
  </si>
  <si>
    <t>Antigravity</t>
  </si>
  <si>
    <t>claude code</t>
  </si>
  <si>
    <t>RLS ポリシー</t>
  </si>
  <si>
    <t>VS cord</t>
  </si>
  <si>
    <t>ユーザーは自分のデータのみ操作可能</t>
  </si>
  <si>
    <t>github</t>
  </si>
  <si>
    <t>これはバックエンドで自動制御されます</t>
  </si>
  <si>
    <t>stitich</t>
  </si>
  <si>
    <t>https://stitch.withgoogle.com/</t>
  </si>
  <si>
    <t>Postman</t>
  </si>
  <si>
    <t>https://www.postman.com/pricing/</t>
  </si>
  <si>
    <t>セキュリティ</t>
  </si>
  <si>
    <t>Json形式変換</t>
  </si>
  <si>
    <t>https://www.convertjson.com/yaml-to-json.htm</t>
  </si>
  <si>
    <t>Anon Key のみをフロントに設定</t>
  </si>
  <si>
    <t xml:space="preserve">Google Cloud Console </t>
  </si>
  <si>
    <t>Service Role Key は絶対に公開しない</t>
  </si>
  <si>
    <t>Phase 1: 環境構築</t>
  </si>
  <si>
    <t>✅ .env.local に Supabase 情報を設定</t>
  </si>
  <si>
    <t>✅ supabase-js をインストール</t>
  </si>
  <si>
    <t>✅ Supabase クライアントを初期化</t>
  </si>
  <si>
    <t>Phase 2-3: 認証</t>
  </si>
  <si>
    <t>✅ Email サインアップ</t>
  </si>
  <si>
    <t>✅ Email ログイン</t>
  </si>
  <si>
    <t>✅ Google OAuth ログイン</t>
  </si>
  <si>
    <t>✅ ログアウト</t>
  </si>
  <si>
    <t>✅ セッション管理</t>
  </si>
  <si>
    <t>Phase 4: ユーザー情報</t>
  </si>
  <si>
    <t>✅ プロフィール作成・更新</t>
  </si>
  <si>
    <t>✅ ユーザー情報取得</t>
  </si>
  <si>
    <t>Phase 5: クローゼット</t>
  </si>
  <si>
    <t>✅ アイテム一覧表示</t>
  </si>
  <si>
    <t>✅ アイテム追加</t>
  </si>
  <si>
    <t>✅ アイテム編集・削除</t>
  </si>
  <si>
    <t>✅ 画像アップロード</t>
  </si>
  <si>
    <t>Phase 6: コミュニティ</t>
  </si>
  <si>
    <t>✅ 投稿フィード表示</t>
  </si>
  <si>
    <t>✅ 投稿作成</t>
  </si>
  <si>
    <t>✅ いいね機能</t>
  </si>
  <si>
    <t>✅ ユーザー情報表示</t>
  </si>
  <si>
    <t>Phase 7: テスト</t>
  </si>
  <si>
    <t>✅ 統合テスト</t>
  </si>
  <si>
    <t>✅ セキュリティチェック</t>
  </si>
  <si>
    <t>✅ 本番環境デプロイ</t>
  </si>
  <si>
    <t>git pull origin main</t>
  </si>
  <si>
    <t>最新版をダウンロード</t>
  </si>
  <si>
    <t>git status</t>
  </si>
  <si>
    <t>今の状態を確認</t>
  </si>
  <si>
    <t>git add .</t>
  </si>
  <si>
    <t>編集ファイルをまとめる</t>
  </si>
  <si>
    <t>git commit -m "説明"</t>
  </si>
  <si>
    <t>編集内容を保存</t>
  </si>
  <si>
    <t>git push origin main</t>
  </si>
  <si>
    <t>GitHub にアップロード</t>
  </si>
  <si>
    <t>Claude Sonnet 4.6</t>
  </si>
  <si>
    <t>コーディング・知識業務・エージェント計画が大幅改善</t>
  </si>
  <si>
    <t>Claude Opus 4.6</t>
  </si>
  <si>
    <t>最新・最高性能、1Mコンテキスト（beta）</t>
  </si>
  <si>
    <t>Claude Opus 4.5</t>
  </si>
  <si>
    <t>effortパラメータ対応</t>
  </si>
  <si>
    <t>Claude Sonnet 4.5</t>
  </si>
  <si>
    <t>コーディング・エージェント特化</t>
  </si>
  <si>
    <t>Claude Opus 4.1</t>
  </si>
  <si>
    <t>エージェントタスク強化</t>
  </si>
  <si>
    <t>Claude Opus 4 / Sonnet 4</t>
  </si>
  <si>
    <t>第4世代の基盤モデル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</si>
</sst>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/mm/dd"/>
    <numFmt numFmtId="165" formatCode="m/d"/>
    <numFmt numFmtId="166" formatCode="yyyy/m/d"/>
    <numFmt numFmtId="167" formatCode="&quot;$&quot;#,##0"/>
    <numFmt numFmtId="168" formatCode="m月"/>
    <numFmt numFmtId="169" formatCode="[$¥-411]#,##0"/>
    <numFmt numFmtId="170" formatCode="yyyy年m月d日"/>
  </numFmts>
  <fonts count="3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000000"/>
      <name val="Verdana"/>
    </font>
    <font>
      <i/>
      <sz val="10.0"/>
      <color rgb="FF7F7F7F"/>
      <name val="Arial"/>
    </font>
    <font>
      <b/>
      <sz val="10.0"/>
      <color rgb="FF2F75B5"/>
      <name val="Verdana"/>
    </font>
    <font>
      <sz val="11.0"/>
      <color theme="1"/>
      <name val="Calibri"/>
    </font>
    <font>
      <i/>
      <sz val="9.0"/>
      <color rgb="FF9E9E9E"/>
      <name val="Verdana"/>
    </font>
    <font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b/>
      <sz val="8.0"/>
      <color rgb="FF000000"/>
      <name val="Arial"/>
    </font>
    <font>
      <sz val="10.0"/>
      <color rgb="FF434343"/>
      <name val="Arial"/>
    </font>
    <font>
      <sz val="10.0"/>
      <color rgb="FF434343"/>
      <name val="Verdana"/>
    </font>
    <font>
      <b/>
      <i/>
      <sz val="11.0"/>
      <color rgb="FF334960"/>
      <name val="Lato"/>
    </font>
    <font>
      <sz val="10.0"/>
      <color rgb="FF576475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b/>
      <sz val="9.0"/>
      <color rgb="FFFFFFFF"/>
      <name val="Lato"/>
    </font>
    <font>
      <b/>
      <i/>
      <sz val="9.0"/>
      <color rgb="FFFFFFFF"/>
      <name val="Lato"/>
    </font>
    <font>
      <sz val="9.0"/>
      <color rgb="FF334960"/>
      <name val="Lato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121212"/>
      <name val="&quot;Anthropic Sans&quot;"/>
    </font>
    <font>
      <sz val="11.0"/>
      <color rgb="FF121212"/>
      <name val="&quot;Anthropic Sans&quot;"/>
    </font>
    <font>
      <u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0B5394"/>
        <bgColor rgb="FF0B5394"/>
      </patternFill>
    </fill>
    <fill>
      <patternFill patternType="solid">
        <fgColor rgb="FF1F5C99"/>
        <bgColor rgb="FF1F5C99"/>
      </patternFill>
    </fill>
    <fill>
      <patternFill patternType="solid">
        <fgColor rgb="FFA64D79"/>
        <bgColor rgb="FFA64D79"/>
      </patternFill>
    </fill>
    <fill>
      <patternFill patternType="solid">
        <fgColor rgb="FFBDD7EE"/>
        <bgColor rgb="FFBDD7EE"/>
      </patternFill>
    </fill>
    <fill>
      <patternFill patternType="solid">
        <fgColor rgb="FFD0E4F4"/>
        <bgColor rgb="FFD0E4F4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rgb="FFB7B7B7"/>
      </patternFill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6D9EEB"/>
        <bgColor rgb="FF6D9EEB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FF0000"/>
      </left>
    </border>
    <border>
      <left style="thin">
        <color rgb="FFB8CCE4"/>
      </left>
      <right style="thin">
        <color rgb="FFB8CCE4"/>
      </right>
      <top style="thin">
        <color rgb="FFB8CCE4"/>
      </top>
    </border>
    <border>
      <left style="thin">
        <color rgb="FFB8CCE4"/>
      </lef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  <border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FF0000"/>
      </left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bottom style="thin">
        <color rgb="FFB8CCE4"/>
      </bottom>
    </border>
    <border>
      <left style="thin">
        <color rgb="FFFF0000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FF0000"/>
      </left>
      <right/>
      <top/>
      <bottom/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horizontal="left" readingOrder="0" shrinkToFit="0" vertical="center" wrapText="0"/>
    </xf>
    <xf borderId="5" fillId="5" fontId="5" numFmtId="0" xfId="0" applyAlignment="1" applyBorder="1" applyFill="1" applyFont="1">
      <alignment horizontal="center" readingOrder="0" shrinkToFit="0" vertical="center" wrapText="0"/>
    </xf>
    <xf borderId="0" fillId="0" fontId="6" numFmtId="164" xfId="0" applyAlignment="1" applyFont="1" applyNumberFormat="1">
      <alignment shrinkToFit="0" vertical="bottom" wrapText="0"/>
    </xf>
    <xf borderId="4" fillId="4" fontId="3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6" fillId="0" fontId="8" numFmtId="0" xfId="0" applyAlignment="1" applyBorder="1" applyFont="1">
      <alignment readingOrder="0"/>
    </xf>
    <xf borderId="7" fillId="3" fontId="9" numFmtId="0" xfId="0" applyAlignment="1" applyBorder="1" applyFont="1">
      <alignment horizontal="center" readingOrder="0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5" fillId="6" fontId="10" numFmtId="0" xfId="0" applyAlignment="1" applyBorder="1" applyFill="1" applyFont="1">
      <alignment horizontal="center" shrinkToFit="0" vertical="center" wrapText="0"/>
    </xf>
    <xf borderId="8" fillId="7" fontId="10" numFmtId="0" xfId="0" applyAlignment="1" applyBorder="1" applyFill="1" applyFon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6" fontId="10" numFmtId="0" xfId="0" applyAlignment="1" applyBorder="1" applyFont="1">
      <alignment horizontal="center" shrinkToFit="0" vertical="center" wrapText="0"/>
    </xf>
    <xf borderId="11" fillId="8" fontId="10" numFmtId="0" xfId="0" applyAlignment="1" applyBorder="1" applyFill="1" applyFont="1">
      <alignment horizontal="center" shrinkToFit="0" vertical="center" wrapText="0"/>
    </xf>
    <xf borderId="8" fillId="8" fontId="10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5" fillId="9" fontId="11" numFmtId="165" xfId="0" applyAlignment="1" applyBorder="1" applyFill="1" applyFont="1" applyNumberFormat="1">
      <alignment horizontal="center" shrinkToFit="0" textRotation="90" vertical="bottom" wrapText="0"/>
    </xf>
    <xf borderId="5" fillId="10" fontId="11" numFmtId="165" xfId="0" applyAlignment="1" applyBorder="1" applyFill="1" applyFont="1" applyNumberFormat="1">
      <alignment horizontal="center" shrinkToFit="0" textRotation="90" vertical="bottom" wrapText="0"/>
    </xf>
    <xf borderId="8" fillId="9" fontId="11" numFmtId="165" xfId="0" applyAlignment="1" applyBorder="1" applyFont="1" applyNumberFormat="1">
      <alignment horizontal="center" shrinkToFit="0" textRotation="90" vertical="bottom" wrapText="0"/>
    </xf>
    <xf borderId="13" fillId="11" fontId="11" numFmtId="165" xfId="0" applyAlignment="1" applyBorder="1" applyFill="1" applyFont="1" applyNumberFormat="1">
      <alignment horizontal="center" shrinkToFit="0" textRotation="90" vertical="bottom" wrapText="0"/>
    </xf>
    <xf borderId="5" fillId="11" fontId="11" numFmtId="165" xfId="0" applyAlignment="1" applyBorder="1" applyFont="1" applyNumberFormat="1">
      <alignment horizontal="center" shrinkToFit="0" textRotation="90" vertical="bottom" wrapText="0"/>
    </xf>
    <xf borderId="5" fillId="12" fontId="11" numFmtId="165" xfId="0" applyAlignment="1" applyBorder="1" applyFill="1" applyFont="1" applyNumberFormat="1">
      <alignment horizontal="center" shrinkToFit="0" textRotation="90" vertical="bottom" wrapText="0"/>
    </xf>
    <xf borderId="4" fillId="13" fontId="9" numFmtId="0" xfId="0" applyAlignment="1" applyBorder="1" applyFill="1" applyFont="1">
      <alignment horizontal="center" shrinkToFit="0" vertical="center" wrapText="0"/>
    </xf>
    <xf borderId="4" fillId="13" fontId="3" numFmtId="0" xfId="0" applyAlignment="1" applyBorder="1" applyFont="1">
      <alignment horizontal="left" readingOrder="0" shrinkToFit="0" vertical="center" wrapText="0"/>
    </xf>
    <xf borderId="4" fillId="13" fontId="9" numFmtId="0" xfId="0" applyAlignment="1" applyBorder="1" applyFont="1">
      <alignment shrinkToFit="0" vertical="bottom" wrapText="0"/>
    </xf>
    <xf borderId="1" fillId="13" fontId="9" numFmtId="0" xfId="0" applyAlignment="1" applyBorder="1" applyFont="1">
      <alignment shrinkToFit="0" vertical="bottom" wrapText="0"/>
    </xf>
    <xf borderId="14" fillId="13" fontId="9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0" fontId="12" numFmtId="166" xfId="0" applyAlignment="1" applyBorder="1" applyFont="1" applyNumberFormat="1">
      <alignment shrinkToFit="0" vertical="bottom" wrapText="0"/>
    </xf>
    <xf borderId="5" fillId="0" fontId="12" numFmtId="166" xfId="0" applyAlignment="1" applyBorder="1" applyFont="1" applyNumberFormat="1">
      <alignment readingOrder="0" shrinkToFit="0" vertical="bottom" wrapText="0"/>
    </xf>
    <xf borderId="5" fillId="0" fontId="12" numFmtId="9" xfId="0" applyAlignment="1" applyBorder="1" applyFont="1" applyNumberFormat="1">
      <alignment readingOrder="0" shrinkToFit="0" vertical="bottom" wrapText="0"/>
    </xf>
    <xf borderId="5" fillId="14" fontId="6" numFmtId="0" xfId="0" applyAlignment="1" applyBorder="1" applyFill="1" applyFont="1">
      <alignment shrinkToFit="0" vertical="bottom" wrapText="0"/>
    </xf>
    <xf borderId="8" fillId="14" fontId="6" numFmtId="0" xfId="0" applyAlignment="1" applyBorder="1" applyFont="1">
      <alignment shrinkToFit="0" vertical="bottom" wrapText="0"/>
    </xf>
    <xf borderId="13" fillId="11" fontId="6" numFmtId="0" xfId="0" applyAlignment="1" applyBorder="1" applyFont="1">
      <alignment shrinkToFit="0" vertical="bottom" wrapText="0"/>
    </xf>
    <xf borderId="5" fillId="11" fontId="6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5" fillId="0" fontId="12" numFmtId="9" xfId="0" applyAlignment="1" applyBorder="1" applyFont="1" applyNumberFormat="1">
      <alignment shrinkToFit="0" vertical="bottom" wrapText="0"/>
    </xf>
    <xf borderId="5" fillId="0" fontId="12" numFmtId="164" xfId="0" applyAlignment="1" applyBorder="1" applyFont="1" applyNumberFormat="1">
      <alignment readingOrder="0" shrinkToFit="0" vertical="bottom" wrapText="0"/>
    </xf>
    <xf borderId="4" fillId="13" fontId="9" numFmtId="0" xfId="0" applyAlignment="1" applyBorder="1" applyFont="1">
      <alignment horizontal="center" readingOrder="0" shrinkToFit="0" vertical="center" wrapText="0"/>
    </xf>
    <xf borderId="0" fillId="15" fontId="8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5" fillId="16" fontId="14" numFmtId="0" xfId="0" applyAlignment="1" applyBorder="1" applyFill="1" applyFont="1">
      <alignment horizontal="right" vertical="center"/>
    </xf>
    <xf borderId="15" fillId="16" fontId="15" numFmtId="0" xfId="0" applyAlignment="1" applyBorder="1" applyFont="1">
      <alignment horizontal="left" vertical="center"/>
    </xf>
    <xf borderId="15" fillId="16" fontId="16" numFmtId="167" xfId="0" applyAlignment="1" applyBorder="1" applyFont="1" applyNumberFormat="1">
      <alignment horizontal="right" vertical="center"/>
    </xf>
    <xf borderId="15" fillId="16" fontId="17" numFmtId="167" xfId="0" applyAlignment="1" applyBorder="1" applyFont="1" applyNumberFormat="1">
      <alignment horizontal="right" vertical="center"/>
    </xf>
    <xf borderId="15" fillId="16" fontId="17" numFmtId="0" xfId="0" applyAlignment="1" applyBorder="1" applyFont="1">
      <alignment horizontal="right" vertical="center"/>
    </xf>
    <xf borderId="16" fillId="0" fontId="14" numFmtId="0" xfId="0" applyAlignment="1" applyBorder="1" applyFont="1">
      <alignment horizontal="right" readingOrder="0" vertical="bottom"/>
    </xf>
    <xf borderId="16" fillId="0" fontId="18" numFmtId="0" xfId="0" applyAlignment="1" applyBorder="1" applyFont="1">
      <alignment horizontal="left" readingOrder="0" vertical="bottom"/>
    </xf>
    <xf borderId="16" fillId="0" fontId="19" numFmtId="168" xfId="0" applyAlignment="1" applyBorder="1" applyFont="1" applyNumberFormat="1">
      <alignment horizontal="right" readingOrder="0" vertical="bottom"/>
    </xf>
    <xf borderId="16" fillId="0" fontId="20" numFmtId="167" xfId="0" applyAlignment="1" applyBorder="1" applyFont="1" applyNumberFormat="1">
      <alignment horizontal="right" readingOrder="0" vertical="bottom"/>
    </xf>
    <xf borderId="16" fillId="0" fontId="20" numFmtId="0" xfId="0" applyAlignment="1" applyBorder="1" applyFont="1">
      <alignment horizontal="right" readingOrder="0" vertical="bottom"/>
    </xf>
    <xf borderId="17" fillId="0" fontId="21" numFmtId="0" xfId="0" applyAlignment="1" applyBorder="1" applyFont="1">
      <alignment horizontal="right" readingOrder="0" vertical="center"/>
    </xf>
    <xf borderId="18" fillId="0" fontId="21" numFmtId="0" xfId="0" applyAlignment="1" applyBorder="1" applyFont="1">
      <alignment horizontal="right" readingOrder="0" vertical="center"/>
    </xf>
    <xf borderId="0" fillId="17" fontId="22" numFmtId="0" xfId="0" applyAlignment="1" applyFill="1" applyFont="1">
      <alignment horizontal="left" readingOrder="0" vertical="center"/>
    </xf>
    <xf borderId="0" fillId="17" fontId="23" numFmtId="169" xfId="0" applyAlignment="1" applyFont="1" applyNumberFormat="1">
      <alignment horizontal="right" readingOrder="0" vertical="center"/>
    </xf>
    <xf borderId="0" fillId="17" fontId="24" numFmtId="169" xfId="0" applyAlignment="1" applyFont="1" applyNumberFormat="1">
      <alignment horizontal="right" readingOrder="0" vertical="center"/>
    </xf>
    <xf borderId="19" fillId="0" fontId="25" numFmtId="167" xfId="0" applyAlignment="1" applyBorder="1" applyFont="1" applyNumberFormat="1">
      <alignment horizontal="right" readingOrder="0" vertical="center"/>
    </xf>
    <xf borderId="20" fillId="0" fontId="14" numFmtId="0" xfId="0" applyAlignment="1" applyBorder="1" applyFont="1">
      <alignment horizontal="right" readingOrder="0" vertical="center"/>
    </xf>
    <xf borderId="21" fillId="0" fontId="14" numFmtId="0" xfId="0" applyAlignment="1" applyBorder="1" applyFont="1">
      <alignment horizontal="right" readingOrder="0" vertical="center"/>
    </xf>
    <xf borderId="0" fillId="0" fontId="16" numFmtId="0" xfId="0" applyAlignment="1" applyFont="1">
      <alignment horizontal="left" readingOrder="0" vertical="center"/>
    </xf>
    <xf borderId="0" fillId="0" fontId="26" numFmtId="169" xfId="0" applyAlignment="1" applyFont="1" applyNumberFormat="1">
      <alignment horizontal="right" readingOrder="0" vertical="center"/>
    </xf>
    <xf borderId="0" fillId="0" fontId="27" numFmtId="169" xfId="0" applyAlignment="1" applyFont="1" applyNumberFormat="1">
      <alignment horizontal="right" vertical="center"/>
    </xf>
    <xf borderId="22" fillId="0" fontId="28" numFmtId="167" xfId="0" applyAlignment="1" applyBorder="1" applyFont="1" applyNumberFormat="1">
      <alignment horizontal="right" vertical="center"/>
    </xf>
    <xf borderId="23" fillId="0" fontId="14" numFmtId="0" xfId="0" applyAlignment="1" applyBorder="1" applyFont="1">
      <alignment horizontal="right" readingOrder="0" vertical="center"/>
    </xf>
    <xf borderId="24" fillId="0" fontId="14" numFmtId="0" xfId="0" applyAlignment="1" applyBorder="1" applyFont="1">
      <alignment horizontal="right" readingOrder="0" vertical="center"/>
    </xf>
    <xf borderId="0" fillId="0" fontId="29" numFmtId="169" xfId="0" applyAlignment="1" applyFont="1" applyNumberFormat="1">
      <alignment horizontal="right" vertical="center"/>
    </xf>
    <xf borderId="0" fillId="0" fontId="26" numFmtId="169" xfId="0" applyAlignment="1" applyFont="1" applyNumberFormat="1">
      <alignment horizontal="right" vertical="center"/>
    </xf>
    <xf borderId="0" fillId="0" fontId="16" numFmtId="0" xfId="0" applyAlignment="1" applyFont="1">
      <alignment horizontal="left" vertical="center"/>
    </xf>
    <xf borderId="0" fillId="18" fontId="16" numFmtId="0" xfId="0" applyAlignment="1" applyFill="1" applyFont="1">
      <alignment horizontal="left" vertical="center"/>
    </xf>
    <xf borderId="0" fillId="18" fontId="26" numFmtId="169" xfId="0" applyAlignment="1" applyFont="1" applyNumberFormat="1">
      <alignment horizontal="right" readingOrder="0" vertical="center"/>
    </xf>
    <xf borderId="0" fillId="18" fontId="26" numFmtId="169" xfId="0" applyAlignment="1" applyFont="1" applyNumberFormat="1">
      <alignment horizontal="right" vertical="center"/>
    </xf>
    <xf borderId="0" fillId="18" fontId="30" numFmtId="169" xfId="0" applyAlignment="1" applyFont="1" applyNumberFormat="1">
      <alignment horizontal="right" readingOrder="0" vertical="center"/>
    </xf>
    <xf borderId="0" fillId="18" fontId="31" numFmtId="169" xfId="0" applyAlignment="1" applyFont="1" applyNumberFormat="1">
      <alignment horizontal="right" readingOrder="0" vertical="center"/>
    </xf>
    <xf borderId="0" fillId="18" fontId="27" numFmtId="169" xfId="0" applyAlignment="1" applyFont="1" applyNumberFormat="1">
      <alignment horizontal="right" vertical="center"/>
    </xf>
    <xf borderId="23" fillId="0" fontId="14" numFmtId="0" xfId="0" applyAlignment="1" applyBorder="1" applyFont="1">
      <alignment horizontal="right" vertical="center"/>
    </xf>
    <xf borderId="24" fillId="0" fontId="14" numFmtId="0" xfId="0" applyAlignment="1" applyBorder="1" applyFont="1">
      <alignment horizontal="right" vertical="center"/>
    </xf>
    <xf borderId="0" fillId="0" fontId="15" numFmtId="0" xfId="0" applyAlignment="1" applyFont="1">
      <alignment horizontal="left" vertical="center"/>
    </xf>
    <xf borderId="0" fillId="0" fontId="32" numFmtId="167" xfId="0" applyAlignment="1" applyFont="1" applyNumberFormat="1">
      <alignment horizontal="right" readingOrder="0" vertical="center"/>
    </xf>
    <xf borderId="0" fillId="0" fontId="28" numFmtId="167" xfId="0" applyAlignment="1" applyFont="1" applyNumberFormat="1">
      <alignment horizontal="right" vertical="center"/>
    </xf>
    <xf borderId="0" fillId="0" fontId="14" numFmtId="0" xfId="0" applyAlignment="1" applyFont="1">
      <alignment horizontal="right" vertical="center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4" fontId="36" numFmtId="0" xfId="0" applyAlignment="1" applyFont="1">
      <alignment readingOrder="0"/>
    </xf>
    <xf borderId="0" fillId="4" fontId="37" numFmtId="0" xfId="0" applyAlignment="1" applyFont="1">
      <alignment readingOrder="0"/>
    </xf>
    <xf borderId="0" fillId="4" fontId="37" numFmtId="0" xfId="0" applyFont="1"/>
    <xf borderId="0" fillId="0" fontId="38" numFmtId="0" xfId="0" applyAlignment="1" applyFont="1">
      <alignment readingOrder="0"/>
    </xf>
    <xf borderId="0" fillId="0" fontId="8" numFmtId="170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FEF9C3"/>
          <bgColor rgb="FFFEF9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271397219724-qh8cfq22j7vrl6sb7n7rohcrersj9ndh.apps.googleusercontent.com/" TargetMode="External"/><Relationship Id="rId2" Type="http://schemas.openxmlformats.org/officeDocument/2006/relationships/hyperlink" Target="https://stitch.withgoogle.com/" TargetMode="External"/><Relationship Id="rId3" Type="http://schemas.openxmlformats.org/officeDocument/2006/relationships/hyperlink" Target="https://www.postman.com/pricing/" TargetMode="External"/><Relationship Id="rId4" Type="http://schemas.openxmlformats.org/officeDocument/2006/relationships/hyperlink" Target="https://www.convertjson.com/yaml-to-json.ht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8.0" ySplit="9.0" topLeftCell="I10" activePane="bottomRight" state="frozen"/>
      <selection activeCell="I1" sqref="I1" pane="topRight"/>
      <selection activeCell="A10" sqref="A10" pane="bottomLeft"/>
      <selection activeCell="I10" sqref="I10" pane="bottomRight"/>
    </sheetView>
  </sheetViews>
  <sheetFormatPr customHeight="1" defaultColWidth="14.43" defaultRowHeight="15.0"/>
  <cols>
    <col customWidth="1" min="1" max="1" width="1.57"/>
    <col customWidth="1" min="2" max="2" width="7.29"/>
    <col customWidth="1" min="3" max="3" width="28.0"/>
    <col customWidth="1" min="4" max="4" width="12.43"/>
    <col customWidth="1" min="5" max="6" width="12.0"/>
    <col customWidth="1" min="7" max="7" width="8.0"/>
    <col customWidth="1" min="8" max="8" width="7.0"/>
    <col customWidth="1" min="9" max="35" width="4.0"/>
  </cols>
  <sheetData>
    <row r="2" ht="27.75" customHeight="1">
      <c r="B2" s="1" t="s">
        <v>0</v>
      </c>
      <c r="C2" s="2"/>
      <c r="D2" s="2"/>
      <c r="E2" s="2"/>
      <c r="F2" s="2"/>
      <c r="G2" s="2"/>
      <c r="H2" s="3"/>
    </row>
    <row r="3" ht="18.0" customHeight="1"/>
    <row r="4" ht="18.0" customHeight="1">
      <c r="B4" s="4" t="s">
        <v>1</v>
      </c>
      <c r="C4" s="3"/>
      <c r="D4" s="5" t="s">
        <v>2</v>
      </c>
      <c r="E4" s="6"/>
      <c r="F4" s="6"/>
      <c r="G4" s="6"/>
      <c r="H4" s="6"/>
      <c r="I4" s="7"/>
      <c r="J4" s="6"/>
    </row>
    <row r="5" ht="18.0" customHeight="1">
      <c r="B5" s="8" t="s">
        <v>3</v>
      </c>
      <c r="C5" s="3"/>
      <c r="D5" s="9" t="s">
        <v>4</v>
      </c>
      <c r="E5" s="9" t="s">
        <v>5</v>
      </c>
      <c r="F5" s="9" t="s">
        <v>6</v>
      </c>
      <c r="G5" s="6"/>
      <c r="H5" s="6"/>
      <c r="I5" s="7"/>
      <c r="J5" s="10"/>
    </row>
    <row r="6" ht="18.0" customHeight="1">
      <c r="B6" s="11"/>
      <c r="F6" s="12"/>
    </row>
    <row r="7" ht="18.0" customHeight="1">
      <c r="AA7" s="13" t="s">
        <v>7</v>
      </c>
    </row>
    <row r="8" ht="18.0" customHeight="1">
      <c r="B8" s="14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5" t="s">
        <v>14</v>
      </c>
      <c r="I8" s="16" t="s">
        <v>15</v>
      </c>
      <c r="J8" s="17" t="s">
        <v>16</v>
      </c>
      <c r="K8" s="18"/>
      <c r="L8" s="18"/>
      <c r="M8" s="19"/>
      <c r="N8" s="20" t="s">
        <v>17</v>
      </c>
      <c r="O8" s="18"/>
      <c r="P8" s="18"/>
      <c r="Q8" s="19"/>
      <c r="R8" s="17" t="s">
        <v>18</v>
      </c>
      <c r="S8" s="18"/>
      <c r="T8" s="18"/>
      <c r="U8" s="18"/>
      <c r="V8" s="19"/>
      <c r="W8" s="20" t="s">
        <v>19</v>
      </c>
      <c r="X8" s="18"/>
      <c r="Y8" s="18"/>
      <c r="Z8" s="19"/>
      <c r="AA8" s="21" t="s">
        <v>20</v>
      </c>
      <c r="AB8" s="18"/>
      <c r="AC8" s="18"/>
      <c r="AD8" s="18"/>
      <c r="AE8" s="19"/>
      <c r="AF8" s="22" t="s">
        <v>21</v>
      </c>
      <c r="AG8" s="18"/>
      <c r="AH8" s="18"/>
      <c r="AI8" s="19"/>
    </row>
    <row r="9" ht="42.0" customHeight="1">
      <c r="B9" s="23"/>
      <c r="C9" s="23"/>
      <c r="D9" s="23"/>
      <c r="E9" s="23"/>
      <c r="F9" s="23"/>
      <c r="G9" s="23"/>
      <c r="H9" s="23"/>
      <c r="I9" s="24">
        <v>46111.0</v>
      </c>
      <c r="J9" s="25">
        <v>46118.0</v>
      </c>
      <c r="K9" s="25">
        <v>46125.0</v>
      </c>
      <c r="L9" s="25">
        <v>46132.0</v>
      </c>
      <c r="M9" s="25">
        <v>46139.0</v>
      </c>
      <c r="N9" s="24">
        <v>46146.0</v>
      </c>
      <c r="O9" s="24">
        <v>46153.0</v>
      </c>
      <c r="P9" s="24">
        <v>46160.0</v>
      </c>
      <c r="Q9" s="24">
        <v>46167.0</v>
      </c>
      <c r="R9" s="25">
        <v>46174.0</v>
      </c>
      <c r="S9" s="25">
        <v>46181.0</v>
      </c>
      <c r="T9" s="25">
        <v>46188.0</v>
      </c>
      <c r="U9" s="25">
        <v>46195.0</v>
      </c>
      <c r="V9" s="25">
        <v>46202.0</v>
      </c>
      <c r="W9" s="24">
        <v>46209.0</v>
      </c>
      <c r="X9" s="24">
        <v>46216.0</v>
      </c>
      <c r="Y9" s="24">
        <v>46223.0</v>
      </c>
      <c r="Z9" s="26">
        <v>46230.0</v>
      </c>
      <c r="AA9" s="27">
        <v>46237.0</v>
      </c>
      <c r="AB9" s="28">
        <v>46244.0</v>
      </c>
      <c r="AC9" s="28">
        <v>46251.0</v>
      </c>
      <c r="AD9" s="28">
        <v>46258.0</v>
      </c>
      <c r="AE9" s="28">
        <v>46265.0</v>
      </c>
      <c r="AF9" s="29">
        <v>46272.0</v>
      </c>
      <c r="AG9" s="29">
        <v>46279.0</v>
      </c>
      <c r="AH9" s="29">
        <v>46286.0</v>
      </c>
      <c r="AI9" s="29">
        <v>46293.0</v>
      </c>
    </row>
    <row r="10" ht="19.5" customHeight="1">
      <c r="B10" s="30" t="s">
        <v>22</v>
      </c>
      <c r="C10" s="31" t="s">
        <v>23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3"/>
      <c r="AA10" s="34"/>
      <c r="AB10" s="32"/>
      <c r="AC10" s="32"/>
      <c r="AD10" s="32"/>
      <c r="AE10" s="32"/>
      <c r="AF10" s="32"/>
      <c r="AG10" s="32"/>
      <c r="AH10" s="32"/>
      <c r="AI10" s="32"/>
    </row>
    <row r="11" ht="18.0" customHeight="1">
      <c r="B11" s="35" t="s">
        <v>24</v>
      </c>
      <c r="C11" s="36" t="s">
        <v>25</v>
      </c>
      <c r="D11" s="37" t="s">
        <v>26</v>
      </c>
      <c r="E11" s="38">
        <v>46111.0</v>
      </c>
      <c r="F11" s="39">
        <v>46142.0</v>
      </c>
      <c r="G11" s="35">
        <f t="shared" ref="G11:G18" si="1">F11-E11</f>
        <v>31</v>
      </c>
      <c r="H11" s="40">
        <v>1.0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2"/>
      <c r="AA11" s="43"/>
      <c r="AB11" s="44"/>
      <c r="AC11" s="44"/>
      <c r="AD11" s="44"/>
      <c r="AE11" s="44"/>
      <c r="AF11" s="44"/>
      <c r="AG11" s="44"/>
      <c r="AH11" s="44"/>
      <c r="AI11" s="44"/>
    </row>
    <row r="12" ht="18.0" customHeight="1">
      <c r="B12" s="35" t="s">
        <v>27</v>
      </c>
      <c r="C12" s="36" t="s">
        <v>28</v>
      </c>
      <c r="D12" s="37" t="s">
        <v>26</v>
      </c>
      <c r="E12" s="39">
        <v>46111.0</v>
      </c>
      <c r="F12" s="39">
        <v>46142.0</v>
      </c>
      <c r="G12" s="35">
        <f t="shared" si="1"/>
        <v>31</v>
      </c>
      <c r="H12" s="40">
        <v>0.5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2"/>
      <c r="AA12" s="43"/>
      <c r="AB12" s="44"/>
      <c r="AC12" s="44"/>
      <c r="AD12" s="44"/>
      <c r="AE12" s="44"/>
      <c r="AF12" s="44"/>
      <c r="AG12" s="44"/>
      <c r="AH12" s="44"/>
      <c r="AI12" s="44"/>
    </row>
    <row r="13" ht="18.0" customHeight="1">
      <c r="B13" s="35" t="s">
        <v>29</v>
      </c>
      <c r="C13" s="45" t="s">
        <v>30</v>
      </c>
      <c r="D13" s="36" t="s">
        <v>31</v>
      </c>
      <c r="E13" s="39"/>
      <c r="F13" s="38">
        <v>46142.0</v>
      </c>
      <c r="G13" s="35">
        <f t="shared" si="1"/>
        <v>46142</v>
      </c>
      <c r="H13" s="46">
        <v>0.0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2"/>
      <c r="AA13" s="43"/>
      <c r="AB13" s="44"/>
      <c r="AC13" s="44"/>
      <c r="AD13" s="44"/>
      <c r="AE13" s="44"/>
      <c r="AF13" s="44"/>
      <c r="AG13" s="44"/>
      <c r="AH13" s="44"/>
      <c r="AI13" s="44"/>
    </row>
    <row r="14" ht="18.0" customHeight="1">
      <c r="B14" s="35" t="s">
        <v>32</v>
      </c>
      <c r="C14" s="36" t="s">
        <v>33</v>
      </c>
      <c r="D14" s="36" t="s">
        <v>6</v>
      </c>
      <c r="E14" s="39"/>
      <c r="F14" s="38">
        <v>46142.0</v>
      </c>
      <c r="G14" s="35">
        <f t="shared" si="1"/>
        <v>46142</v>
      </c>
      <c r="H14" s="46">
        <v>0.0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2"/>
      <c r="AA14" s="43"/>
      <c r="AB14" s="44"/>
      <c r="AC14" s="44"/>
      <c r="AD14" s="44"/>
      <c r="AE14" s="44"/>
      <c r="AF14" s="44"/>
      <c r="AG14" s="44"/>
      <c r="AH14" s="44"/>
      <c r="AI14" s="44"/>
    </row>
    <row r="15" ht="18.0" customHeight="1">
      <c r="B15" s="35" t="s">
        <v>34</v>
      </c>
      <c r="C15" s="36" t="s">
        <v>35</v>
      </c>
      <c r="D15" s="36" t="s">
        <v>26</v>
      </c>
      <c r="E15" s="39"/>
      <c r="F15" s="39">
        <v>46203.0</v>
      </c>
      <c r="G15" s="35">
        <f t="shared" si="1"/>
        <v>46203</v>
      </c>
      <c r="H15" s="46">
        <v>0.0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2"/>
      <c r="AA15" s="43"/>
      <c r="AB15" s="44"/>
      <c r="AC15" s="44"/>
      <c r="AD15" s="44"/>
      <c r="AE15" s="44"/>
      <c r="AF15" s="44"/>
      <c r="AG15" s="44"/>
      <c r="AH15" s="44"/>
      <c r="AI15" s="44"/>
    </row>
    <row r="16" ht="18.0" customHeight="1">
      <c r="B16" s="35" t="s">
        <v>36</v>
      </c>
      <c r="C16" s="36" t="s">
        <v>37</v>
      </c>
      <c r="D16" s="36" t="s">
        <v>31</v>
      </c>
      <c r="E16" s="39"/>
      <c r="F16" s="39">
        <v>46203.0</v>
      </c>
      <c r="G16" s="35">
        <f t="shared" si="1"/>
        <v>46203</v>
      </c>
      <c r="H16" s="46">
        <v>0.0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2"/>
      <c r="AA16" s="43"/>
      <c r="AB16" s="44"/>
      <c r="AC16" s="44"/>
      <c r="AD16" s="44"/>
      <c r="AE16" s="44"/>
      <c r="AF16" s="44"/>
      <c r="AG16" s="44"/>
      <c r="AH16" s="44"/>
      <c r="AI16" s="44"/>
    </row>
    <row r="17" ht="18.0" customHeight="1">
      <c r="B17" s="35" t="s">
        <v>38</v>
      </c>
      <c r="C17" s="36" t="s">
        <v>39</v>
      </c>
      <c r="D17" s="36" t="s">
        <v>31</v>
      </c>
      <c r="E17" s="39">
        <v>46113.0</v>
      </c>
      <c r="F17" s="38">
        <v>46142.0</v>
      </c>
      <c r="G17" s="35">
        <f t="shared" si="1"/>
        <v>29</v>
      </c>
      <c r="H17" s="40">
        <v>0.2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2"/>
      <c r="AA17" s="43"/>
      <c r="AB17" s="44"/>
      <c r="AC17" s="44"/>
      <c r="AD17" s="44"/>
      <c r="AE17" s="44"/>
      <c r="AF17" s="44"/>
      <c r="AG17" s="44"/>
      <c r="AH17" s="44"/>
      <c r="AI17" s="44"/>
    </row>
    <row r="18" ht="18.0" customHeight="1">
      <c r="B18" s="35" t="s">
        <v>40</v>
      </c>
      <c r="C18" s="36" t="s">
        <v>41</v>
      </c>
      <c r="D18" s="36" t="s">
        <v>31</v>
      </c>
      <c r="E18" s="39"/>
      <c r="F18" s="38">
        <v>46142.0</v>
      </c>
      <c r="G18" s="35">
        <f t="shared" si="1"/>
        <v>46142</v>
      </c>
      <c r="H18" s="40">
        <v>0.2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2"/>
      <c r="AA18" s="43"/>
      <c r="AB18" s="44"/>
      <c r="AC18" s="44"/>
      <c r="AD18" s="44"/>
      <c r="AE18" s="44"/>
      <c r="AF18" s="44"/>
      <c r="AG18" s="44"/>
      <c r="AH18" s="44"/>
      <c r="AI18" s="44"/>
    </row>
    <row r="19" ht="19.5" customHeight="1">
      <c r="B19" s="30" t="s">
        <v>42</v>
      </c>
      <c r="C19" s="31" t="s">
        <v>43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/>
      <c r="AA19" s="34"/>
      <c r="AB19" s="32"/>
      <c r="AC19" s="32"/>
      <c r="AD19" s="32"/>
      <c r="AE19" s="32"/>
      <c r="AF19" s="32"/>
      <c r="AG19" s="32"/>
      <c r="AH19" s="32"/>
      <c r="AI19" s="32"/>
    </row>
    <row r="20" ht="18.0" customHeight="1">
      <c r="B20" s="35" t="s">
        <v>44</v>
      </c>
      <c r="C20" s="36" t="s">
        <v>45</v>
      </c>
      <c r="D20" s="36" t="s">
        <v>31</v>
      </c>
      <c r="E20" s="38"/>
      <c r="F20" s="39">
        <v>46127.0</v>
      </c>
      <c r="G20" s="35">
        <f t="shared" ref="G20:G25" si="2">F20-E20</f>
        <v>46127</v>
      </c>
      <c r="H20" s="46">
        <v>0.0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2"/>
      <c r="AA20" s="43"/>
      <c r="AB20" s="44"/>
      <c r="AC20" s="44"/>
      <c r="AD20" s="44"/>
      <c r="AE20" s="44"/>
      <c r="AF20" s="44"/>
      <c r="AG20" s="44"/>
      <c r="AH20" s="44"/>
      <c r="AI20" s="44"/>
    </row>
    <row r="21" ht="18.0" customHeight="1">
      <c r="B21" s="35" t="s">
        <v>46</v>
      </c>
      <c r="C21" s="36" t="s">
        <v>47</v>
      </c>
      <c r="D21" s="36" t="s">
        <v>31</v>
      </c>
      <c r="E21" s="38"/>
      <c r="F21" s="38"/>
      <c r="G21" s="35">
        <f t="shared" si="2"/>
        <v>0</v>
      </c>
      <c r="H21" s="46">
        <v>0.0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  <c r="AA21" s="43"/>
      <c r="AB21" s="44"/>
      <c r="AC21" s="44"/>
      <c r="AD21" s="44"/>
      <c r="AE21" s="44"/>
      <c r="AF21" s="44"/>
      <c r="AG21" s="44"/>
      <c r="AH21" s="44"/>
      <c r="AI21" s="44"/>
    </row>
    <row r="22" ht="18.0" customHeight="1">
      <c r="B22" s="35" t="s">
        <v>48</v>
      </c>
      <c r="C22" s="36" t="s">
        <v>49</v>
      </c>
      <c r="D22" s="36" t="s">
        <v>31</v>
      </c>
      <c r="E22" s="38"/>
      <c r="F22" s="38"/>
      <c r="G22" s="35">
        <f t="shared" si="2"/>
        <v>0</v>
      </c>
      <c r="H22" s="46">
        <v>0.0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2"/>
      <c r="AA22" s="43"/>
      <c r="AB22" s="44"/>
      <c r="AC22" s="44"/>
      <c r="AD22" s="44"/>
      <c r="AE22" s="44"/>
      <c r="AF22" s="44"/>
      <c r="AG22" s="44"/>
      <c r="AH22" s="44"/>
      <c r="AI22" s="44"/>
    </row>
    <row r="23" ht="18.0" customHeight="1">
      <c r="B23" s="35" t="s">
        <v>50</v>
      </c>
      <c r="C23" s="37" t="s">
        <v>51</v>
      </c>
      <c r="D23" s="36" t="s">
        <v>31</v>
      </c>
      <c r="E23" s="38"/>
      <c r="F23" s="38"/>
      <c r="G23" s="35">
        <f t="shared" si="2"/>
        <v>0</v>
      </c>
      <c r="H23" s="46">
        <v>0.0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2"/>
      <c r="AA23" s="43"/>
      <c r="AB23" s="44"/>
      <c r="AC23" s="44"/>
      <c r="AD23" s="44"/>
      <c r="AE23" s="44"/>
      <c r="AF23" s="44"/>
      <c r="AG23" s="44"/>
      <c r="AH23" s="44"/>
      <c r="AI23" s="44"/>
    </row>
    <row r="24" ht="19.5" customHeight="1">
      <c r="B24" s="35" t="s">
        <v>52</v>
      </c>
      <c r="C24" s="36" t="s">
        <v>53</v>
      </c>
      <c r="D24" s="36" t="s">
        <v>31</v>
      </c>
      <c r="E24" s="38"/>
      <c r="F24" s="38"/>
      <c r="G24" s="35">
        <f t="shared" si="2"/>
        <v>0</v>
      </c>
      <c r="H24" s="46">
        <v>0.0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2"/>
      <c r="AA24" s="43"/>
      <c r="AB24" s="44"/>
      <c r="AC24" s="44"/>
      <c r="AD24" s="44"/>
      <c r="AE24" s="44"/>
      <c r="AF24" s="44"/>
      <c r="AG24" s="44"/>
      <c r="AH24" s="44"/>
      <c r="AI24" s="44"/>
    </row>
    <row r="25" ht="19.5" customHeight="1">
      <c r="B25" s="35" t="s">
        <v>54</v>
      </c>
      <c r="C25" s="36" t="s">
        <v>55</v>
      </c>
      <c r="D25" s="36" t="s">
        <v>6</v>
      </c>
      <c r="E25" s="47">
        <v>46134.0</v>
      </c>
      <c r="F25" s="39">
        <v>46173.0</v>
      </c>
      <c r="G25" s="35">
        <f t="shared" si="2"/>
        <v>39</v>
      </c>
      <c r="H25" s="40">
        <v>0.5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2"/>
      <c r="AA25" s="43"/>
      <c r="AB25" s="44"/>
      <c r="AC25" s="44"/>
      <c r="AD25" s="44"/>
      <c r="AE25" s="44"/>
      <c r="AF25" s="44"/>
      <c r="AG25" s="44"/>
      <c r="AH25" s="44"/>
      <c r="AI25" s="44"/>
    </row>
    <row r="26" ht="19.5" customHeight="1">
      <c r="B26" s="30" t="s">
        <v>56</v>
      </c>
      <c r="C26" s="31" t="s">
        <v>57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/>
      <c r="AA26" s="34"/>
      <c r="AB26" s="32"/>
      <c r="AC26" s="32"/>
      <c r="AD26" s="32"/>
      <c r="AE26" s="32"/>
      <c r="AF26" s="32"/>
      <c r="AG26" s="32"/>
      <c r="AH26" s="32"/>
      <c r="AI26" s="32"/>
    </row>
    <row r="27" ht="18.0" customHeight="1">
      <c r="B27" s="35" t="s">
        <v>58</v>
      </c>
      <c r="C27" s="36" t="s">
        <v>59</v>
      </c>
      <c r="D27" s="36" t="s">
        <v>31</v>
      </c>
      <c r="E27" s="38"/>
      <c r="F27" s="38"/>
      <c r="G27" s="35">
        <f t="shared" ref="G27:G32" si="3">F27-E27</f>
        <v>0</v>
      </c>
      <c r="H27" s="46">
        <v>0.0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2"/>
      <c r="AA27" s="43"/>
      <c r="AB27" s="44"/>
      <c r="AC27" s="44"/>
      <c r="AD27" s="44"/>
      <c r="AE27" s="44"/>
      <c r="AF27" s="44"/>
      <c r="AG27" s="44"/>
      <c r="AH27" s="44"/>
      <c r="AI27" s="44"/>
    </row>
    <row r="28" ht="18.0" customHeight="1">
      <c r="B28" s="35" t="s">
        <v>60</v>
      </c>
      <c r="C28" s="36" t="s">
        <v>61</v>
      </c>
      <c r="D28" s="36" t="s">
        <v>31</v>
      </c>
      <c r="E28" s="38"/>
      <c r="F28" s="38"/>
      <c r="G28" s="35">
        <f t="shared" si="3"/>
        <v>0</v>
      </c>
      <c r="H28" s="46">
        <v>0.0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2"/>
      <c r="AA28" s="43"/>
      <c r="AB28" s="44"/>
      <c r="AC28" s="44"/>
      <c r="AD28" s="44"/>
      <c r="AE28" s="44"/>
      <c r="AF28" s="44"/>
      <c r="AG28" s="44"/>
      <c r="AH28" s="44"/>
      <c r="AI28" s="44"/>
    </row>
    <row r="29" ht="18.0" customHeight="1">
      <c r="B29" s="35" t="s">
        <v>62</v>
      </c>
      <c r="C29" s="37" t="s">
        <v>63</v>
      </c>
      <c r="D29" s="36" t="s">
        <v>31</v>
      </c>
      <c r="E29" s="38"/>
      <c r="F29" s="38"/>
      <c r="G29" s="35">
        <f t="shared" si="3"/>
        <v>0</v>
      </c>
      <c r="H29" s="46">
        <v>0.0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2"/>
      <c r="AA29" s="43"/>
      <c r="AB29" s="44"/>
      <c r="AC29" s="44"/>
      <c r="AD29" s="44"/>
      <c r="AE29" s="44"/>
      <c r="AF29" s="44"/>
      <c r="AG29" s="44"/>
      <c r="AH29" s="44"/>
      <c r="AI29" s="44"/>
    </row>
    <row r="30" ht="18.0" customHeight="1">
      <c r="B30" s="35" t="s">
        <v>64</v>
      </c>
      <c r="C30" s="37" t="s">
        <v>65</v>
      </c>
      <c r="D30" s="36" t="s">
        <v>31</v>
      </c>
      <c r="E30" s="38"/>
      <c r="F30" s="38"/>
      <c r="G30" s="35">
        <f t="shared" si="3"/>
        <v>0</v>
      </c>
      <c r="H30" s="46">
        <v>0.0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2"/>
      <c r="AA30" s="43"/>
      <c r="AB30" s="44"/>
      <c r="AC30" s="44"/>
      <c r="AD30" s="44"/>
      <c r="AE30" s="44"/>
      <c r="AF30" s="44"/>
      <c r="AG30" s="44"/>
      <c r="AH30" s="44"/>
      <c r="AI30" s="44"/>
    </row>
    <row r="31" ht="18.0" customHeight="1">
      <c r="B31" s="35" t="s">
        <v>66</v>
      </c>
      <c r="C31" s="36" t="s">
        <v>67</v>
      </c>
      <c r="D31" s="36" t="s">
        <v>31</v>
      </c>
      <c r="E31" s="38"/>
      <c r="F31" s="38"/>
      <c r="G31" s="35">
        <f t="shared" si="3"/>
        <v>0</v>
      </c>
      <c r="H31" s="46">
        <v>0.0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  <c r="AA31" s="43"/>
      <c r="AB31" s="44"/>
      <c r="AC31" s="44"/>
      <c r="AD31" s="44"/>
      <c r="AE31" s="44"/>
      <c r="AF31" s="44"/>
      <c r="AG31" s="44"/>
      <c r="AH31" s="44"/>
      <c r="AI31" s="44"/>
    </row>
    <row r="32" ht="18.0" customHeight="1">
      <c r="B32" s="35" t="s">
        <v>68</v>
      </c>
      <c r="C32" s="36" t="s">
        <v>69</v>
      </c>
      <c r="D32" s="36" t="s">
        <v>31</v>
      </c>
      <c r="E32" s="38"/>
      <c r="F32" s="38"/>
      <c r="G32" s="35">
        <f t="shared" si="3"/>
        <v>0</v>
      </c>
      <c r="H32" s="46">
        <v>0.0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2"/>
      <c r="AA32" s="43"/>
      <c r="AB32" s="44"/>
      <c r="AC32" s="44"/>
      <c r="AD32" s="44"/>
      <c r="AE32" s="44"/>
      <c r="AF32" s="44"/>
      <c r="AG32" s="44"/>
      <c r="AH32" s="44"/>
      <c r="AI32" s="44"/>
    </row>
    <row r="33" ht="19.5" customHeight="1">
      <c r="B33" s="30" t="s">
        <v>70</v>
      </c>
      <c r="C33" s="31" t="s">
        <v>71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3"/>
      <c r="AA33" s="34"/>
      <c r="AB33" s="32"/>
      <c r="AC33" s="32"/>
      <c r="AD33" s="32"/>
      <c r="AE33" s="32"/>
      <c r="AF33" s="32"/>
      <c r="AG33" s="32"/>
      <c r="AH33" s="32"/>
      <c r="AI33" s="32"/>
    </row>
    <row r="34" ht="18.0" customHeight="1">
      <c r="B34" s="35" t="s">
        <v>72</v>
      </c>
      <c r="C34" s="36" t="s">
        <v>73</v>
      </c>
      <c r="D34" s="36" t="s">
        <v>31</v>
      </c>
      <c r="E34" s="38"/>
      <c r="F34" s="38"/>
      <c r="G34" s="35">
        <f t="shared" ref="G34:G38" si="4">F34-E34</f>
        <v>0</v>
      </c>
      <c r="H34" s="46">
        <v>0.0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2"/>
      <c r="AA34" s="43"/>
      <c r="AB34" s="44"/>
      <c r="AC34" s="44"/>
      <c r="AD34" s="44"/>
      <c r="AE34" s="44"/>
      <c r="AF34" s="44"/>
      <c r="AG34" s="44"/>
      <c r="AH34" s="44"/>
      <c r="AI34" s="44"/>
    </row>
    <row r="35" ht="18.0" customHeight="1">
      <c r="B35" s="35" t="s">
        <v>74</v>
      </c>
      <c r="C35" s="36" t="s">
        <v>75</v>
      </c>
      <c r="D35" s="36" t="s">
        <v>31</v>
      </c>
      <c r="E35" s="38"/>
      <c r="F35" s="38"/>
      <c r="G35" s="35">
        <f t="shared" si="4"/>
        <v>0</v>
      </c>
      <c r="H35" s="46">
        <v>0.0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2"/>
      <c r="AA35" s="43"/>
      <c r="AB35" s="44"/>
      <c r="AC35" s="44"/>
      <c r="AD35" s="44"/>
      <c r="AE35" s="44"/>
      <c r="AF35" s="44"/>
      <c r="AG35" s="44"/>
      <c r="AH35" s="44"/>
      <c r="AI35" s="44"/>
    </row>
    <row r="36" ht="18.0" customHeight="1">
      <c r="B36" s="35" t="s">
        <v>76</v>
      </c>
      <c r="C36" s="36" t="s">
        <v>77</v>
      </c>
      <c r="D36" s="36" t="s">
        <v>31</v>
      </c>
      <c r="E36" s="38"/>
      <c r="F36" s="38"/>
      <c r="G36" s="35">
        <f t="shared" si="4"/>
        <v>0</v>
      </c>
      <c r="H36" s="46">
        <v>0.0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2"/>
      <c r="AA36" s="43"/>
      <c r="AB36" s="44"/>
      <c r="AC36" s="44"/>
      <c r="AD36" s="44"/>
      <c r="AE36" s="44"/>
      <c r="AF36" s="44"/>
      <c r="AG36" s="44"/>
      <c r="AH36" s="44"/>
      <c r="AI36" s="44"/>
    </row>
    <row r="37" ht="18.0" customHeight="1">
      <c r="B37" s="35" t="s">
        <v>78</v>
      </c>
      <c r="C37" s="36" t="s">
        <v>79</v>
      </c>
      <c r="D37" s="36" t="s">
        <v>31</v>
      </c>
      <c r="E37" s="38"/>
      <c r="F37" s="38"/>
      <c r="G37" s="35">
        <f t="shared" si="4"/>
        <v>0</v>
      </c>
      <c r="H37" s="46">
        <v>0.0</v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2"/>
      <c r="AA37" s="43"/>
      <c r="AB37" s="44"/>
      <c r="AC37" s="44"/>
      <c r="AD37" s="44"/>
      <c r="AE37" s="44"/>
      <c r="AF37" s="44"/>
      <c r="AG37" s="44"/>
      <c r="AH37" s="44"/>
      <c r="AI37" s="44"/>
    </row>
    <row r="38" ht="15.75" customHeight="1">
      <c r="B38" s="35" t="s">
        <v>80</v>
      </c>
      <c r="C38" s="36" t="s">
        <v>81</v>
      </c>
      <c r="D38" s="36" t="s">
        <v>31</v>
      </c>
      <c r="E38" s="38"/>
      <c r="F38" s="38"/>
      <c r="G38" s="35">
        <f t="shared" si="4"/>
        <v>0</v>
      </c>
      <c r="H38" s="46">
        <v>0.0</v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  <c r="AA38" s="43"/>
      <c r="AB38" s="44"/>
      <c r="AC38" s="44"/>
      <c r="AD38" s="44"/>
      <c r="AE38" s="44"/>
      <c r="AF38" s="44"/>
      <c r="AG38" s="44"/>
      <c r="AH38" s="44"/>
      <c r="AI38" s="44"/>
    </row>
    <row r="39" ht="15.75" customHeight="1">
      <c r="B39" s="48">
        <v>5.0</v>
      </c>
      <c r="C39" s="31" t="s">
        <v>82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3"/>
      <c r="AA39" s="34"/>
      <c r="AB39" s="32"/>
      <c r="AC39" s="32"/>
      <c r="AD39" s="32"/>
      <c r="AE39" s="32"/>
      <c r="AF39" s="32"/>
      <c r="AG39" s="32"/>
      <c r="AH39" s="32"/>
      <c r="AI39" s="32"/>
    </row>
    <row r="40" ht="15.75" customHeight="1">
      <c r="B40" s="35" t="s">
        <v>72</v>
      </c>
      <c r="C40" s="36" t="s">
        <v>83</v>
      </c>
      <c r="D40" s="36" t="s">
        <v>31</v>
      </c>
      <c r="E40" s="38"/>
      <c r="F40" s="38"/>
      <c r="G40" s="35">
        <f t="shared" ref="G40:G45" si="5">F40-E40</f>
        <v>0</v>
      </c>
      <c r="H40" s="46">
        <v>0.0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2"/>
      <c r="AA40" s="43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B41" s="35" t="s">
        <v>74</v>
      </c>
      <c r="C41" s="36" t="s">
        <v>84</v>
      </c>
      <c r="D41" s="36" t="s">
        <v>31</v>
      </c>
      <c r="E41" s="38"/>
      <c r="F41" s="38"/>
      <c r="G41" s="35">
        <f t="shared" si="5"/>
        <v>0</v>
      </c>
      <c r="H41" s="46">
        <v>0.0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2"/>
      <c r="AA41" s="43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B42" s="35" t="s">
        <v>76</v>
      </c>
      <c r="C42" s="36" t="s">
        <v>85</v>
      </c>
      <c r="D42" s="36" t="s">
        <v>6</v>
      </c>
      <c r="E42" s="38"/>
      <c r="F42" s="38"/>
      <c r="G42" s="35">
        <f t="shared" si="5"/>
        <v>0</v>
      </c>
      <c r="H42" s="46">
        <v>0.0</v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2"/>
      <c r="AA42" s="43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B43" s="35" t="s">
        <v>78</v>
      </c>
      <c r="C43" s="36" t="s">
        <v>86</v>
      </c>
      <c r="D43" s="36" t="s">
        <v>31</v>
      </c>
      <c r="E43" s="38"/>
      <c r="F43" s="38"/>
      <c r="G43" s="35">
        <f t="shared" si="5"/>
        <v>0</v>
      </c>
      <c r="H43" s="46">
        <v>0.0</v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3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B44" s="35" t="s">
        <v>80</v>
      </c>
      <c r="C44" s="36" t="s">
        <v>87</v>
      </c>
      <c r="D44" s="36" t="s">
        <v>31</v>
      </c>
      <c r="E44" s="38"/>
      <c r="F44" s="38"/>
      <c r="G44" s="35">
        <f t="shared" si="5"/>
        <v>0</v>
      </c>
      <c r="H44" s="46">
        <v>0.0</v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3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B45" s="35" t="s">
        <v>88</v>
      </c>
      <c r="C45" s="36" t="s">
        <v>89</v>
      </c>
      <c r="D45" s="36" t="s">
        <v>31</v>
      </c>
      <c r="E45" s="38"/>
      <c r="F45" s="38"/>
      <c r="G45" s="35">
        <f t="shared" si="5"/>
        <v>0</v>
      </c>
      <c r="H45" s="46">
        <v>0.0</v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2"/>
      <c r="AA45" s="43"/>
      <c r="AB45" s="44"/>
      <c r="AC45" s="44"/>
      <c r="AD45" s="44"/>
      <c r="AE45" s="44"/>
      <c r="AF45" s="44"/>
      <c r="AG45" s="44"/>
      <c r="AH45" s="44"/>
      <c r="AI45" s="4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D8:D9"/>
    <mergeCell ref="E8:E9"/>
    <mergeCell ref="F8:F9"/>
    <mergeCell ref="G8:G9"/>
    <mergeCell ref="H8:H9"/>
    <mergeCell ref="J8:M8"/>
    <mergeCell ref="N8:Q8"/>
    <mergeCell ref="R8:V8"/>
    <mergeCell ref="W8:Z8"/>
    <mergeCell ref="AA8:AE8"/>
    <mergeCell ref="AF8:AI8"/>
    <mergeCell ref="B2:H2"/>
    <mergeCell ref="B4:C4"/>
    <mergeCell ref="J4:N4"/>
    <mergeCell ref="B5:C5"/>
    <mergeCell ref="J5:N5"/>
    <mergeCell ref="B8:B9"/>
    <mergeCell ref="C8:C9"/>
  </mergeCells>
  <conditionalFormatting sqref="I10:AI45">
    <cfRule type="expression" dxfId="0" priority="1">
      <formula>AND($E10&lt;&gt;"",$F10&lt;&gt;"",$E10&lt;=I$9+6,$F10&gt;=I$9)</formula>
    </cfRule>
  </conditionalFormatting>
  <conditionalFormatting sqref="I10:AI45">
    <cfRule type="expression" dxfId="1" priority="2">
      <formula>AND(TODAY()&gt;=I$9,TODAY()&lt;I$9+7)</formula>
    </cfRule>
  </conditionalFormatting>
  <conditionalFormatting sqref="H10:H45">
    <cfRule type="colorScale" priority="3">
      <colorScale>
        <cfvo type="formula" val="0"/>
        <cfvo type="formula" val="0.5"/>
        <cfvo type="formula" val="1"/>
        <color rgb="FFFF0000"/>
        <color rgb="FFFFFF00"/>
        <color rgb="FF00B050"/>
      </colorScale>
    </cfRule>
  </conditionalFormatting>
  <dataValidations>
    <dataValidation type="list" allowBlank="1" sqref="D11:D18 D20:D25 D27:D32 D34:D38 D40:D45">
      <formula1>"みなと,しらほ,かいと,全員,検討中"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57"/>
    <col customWidth="1" min="3" max="3" width="38.57"/>
    <col hidden="1" min="4" max="4" width="14.43"/>
  </cols>
  <sheetData>
    <row r="1">
      <c r="B1" s="49" t="s">
        <v>90</v>
      </c>
      <c r="C1" s="49" t="s">
        <v>91</v>
      </c>
    </row>
    <row r="2">
      <c r="A2" s="50" t="s">
        <v>92</v>
      </c>
      <c r="B2" s="50" t="s">
        <v>93</v>
      </c>
      <c r="C2" s="50" t="s">
        <v>94</v>
      </c>
      <c r="D2" s="50" t="s">
        <v>95</v>
      </c>
    </row>
    <row r="3">
      <c r="A3" s="50" t="s">
        <v>92</v>
      </c>
      <c r="B3" s="50" t="s">
        <v>96</v>
      </c>
      <c r="C3" s="50" t="s">
        <v>97</v>
      </c>
      <c r="D3" s="50" t="s">
        <v>95</v>
      </c>
    </row>
    <row r="4">
      <c r="A4" s="50" t="s">
        <v>92</v>
      </c>
      <c r="B4" s="50" t="s">
        <v>98</v>
      </c>
      <c r="C4" s="50" t="s">
        <v>99</v>
      </c>
      <c r="D4" s="50" t="s">
        <v>100</v>
      </c>
    </row>
    <row r="5">
      <c r="A5" s="50" t="s">
        <v>92</v>
      </c>
      <c r="B5" s="50" t="s">
        <v>101</v>
      </c>
      <c r="C5" s="50" t="s">
        <v>102</v>
      </c>
      <c r="D5" s="50" t="s">
        <v>100</v>
      </c>
    </row>
    <row r="6">
      <c r="B6" s="50" t="s">
        <v>103</v>
      </c>
      <c r="C6" s="50" t="s">
        <v>104</v>
      </c>
      <c r="D6" s="50" t="s">
        <v>105</v>
      </c>
    </row>
    <row r="7">
      <c r="B7" s="50" t="s">
        <v>106</v>
      </c>
      <c r="C7" s="50" t="s">
        <v>107</v>
      </c>
      <c r="D7" s="50" t="s">
        <v>105</v>
      </c>
    </row>
    <row r="8">
      <c r="B8" s="50" t="s">
        <v>108</v>
      </c>
      <c r="C8" s="50" t="s">
        <v>109</v>
      </c>
      <c r="D8" s="50" t="s">
        <v>110</v>
      </c>
    </row>
    <row r="9">
      <c r="B9" s="50" t="s">
        <v>111</v>
      </c>
      <c r="C9" s="50" t="s">
        <v>112</v>
      </c>
      <c r="D9" s="50" t="s">
        <v>113</v>
      </c>
    </row>
    <row r="10">
      <c r="B10" s="50" t="s">
        <v>114</v>
      </c>
      <c r="C10" s="50" t="s">
        <v>115</v>
      </c>
      <c r="D10" s="50" t="s">
        <v>113</v>
      </c>
    </row>
    <row r="11">
      <c r="B11" s="50" t="s">
        <v>116</v>
      </c>
      <c r="C11" s="50" t="s">
        <v>117</v>
      </c>
      <c r="D11" s="50" t="s">
        <v>118</v>
      </c>
    </row>
    <row r="12">
      <c r="B12" s="50" t="s">
        <v>119</v>
      </c>
      <c r="C12" s="50" t="s">
        <v>120</v>
      </c>
      <c r="D12" s="50" t="s">
        <v>118</v>
      </c>
    </row>
    <row r="13">
      <c r="B13" s="50" t="s">
        <v>121</v>
      </c>
      <c r="C13" s="50" t="s">
        <v>122</v>
      </c>
      <c r="D13" s="50" t="s">
        <v>123</v>
      </c>
    </row>
    <row r="14">
      <c r="B14" s="50" t="s">
        <v>124</v>
      </c>
      <c r="C14" s="50" t="s">
        <v>125</v>
      </c>
      <c r="D14" s="50" t="s">
        <v>123</v>
      </c>
    </row>
    <row r="15">
      <c r="B15" s="50" t="s">
        <v>126</v>
      </c>
      <c r="C15" s="50" t="s">
        <v>127</v>
      </c>
      <c r="D15" s="50" t="s">
        <v>128</v>
      </c>
    </row>
    <row r="16">
      <c r="B16" s="50" t="s">
        <v>129</v>
      </c>
      <c r="C16" s="50" t="s">
        <v>130</v>
      </c>
      <c r="D16" s="50" t="s">
        <v>128</v>
      </c>
    </row>
    <row r="17">
      <c r="B17" s="50" t="s">
        <v>131</v>
      </c>
      <c r="C17" s="50" t="s">
        <v>132</v>
      </c>
      <c r="D17" s="50" t="s">
        <v>133</v>
      </c>
    </row>
    <row r="18">
      <c r="B18" s="50" t="s">
        <v>134</v>
      </c>
      <c r="C18" s="50" t="s">
        <v>135</v>
      </c>
      <c r="D18" s="50" t="s">
        <v>133</v>
      </c>
    </row>
    <row r="19">
      <c r="B19" s="50" t="s">
        <v>136</v>
      </c>
      <c r="C19" s="50" t="s">
        <v>137</v>
      </c>
    </row>
    <row r="20">
      <c r="B20" s="50" t="s">
        <v>138</v>
      </c>
      <c r="C20" s="50" t="s">
        <v>139</v>
      </c>
    </row>
    <row r="21">
      <c r="B21" s="50" t="s">
        <v>140</v>
      </c>
      <c r="C21" s="50" t="s">
        <v>141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 outlineLevelRow="1"/>
  <cols>
    <col customWidth="1" min="1" max="1" width="16.43"/>
    <col customWidth="1" min="2" max="2" width="2.29"/>
    <col customWidth="1" min="3" max="3" width="19.29"/>
    <col customWidth="1" min="4" max="13" width="8.71" outlineLevel="1"/>
    <col customWidth="1" min="14" max="14" width="12.71"/>
    <col customWidth="1" min="15" max="15" width="9.29"/>
    <col customWidth="1" min="16" max="16" width="10.14"/>
  </cols>
  <sheetData>
    <row r="1" ht="6.0" customHeight="1">
      <c r="A1" s="51"/>
      <c r="B1" s="51"/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  <c r="O1" s="55"/>
      <c r="P1" s="55"/>
    </row>
    <row r="2" ht="38.25" customHeight="1">
      <c r="A2" s="56"/>
      <c r="B2" s="56"/>
      <c r="C2" s="57" t="s">
        <v>142</v>
      </c>
      <c r="D2" s="58">
        <v>36586.0</v>
      </c>
      <c r="E2" s="58">
        <v>36617.0</v>
      </c>
      <c r="F2" s="58">
        <v>36647.0</v>
      </c>
      <c r="G2" s="58">
        <v>36678.0</v>
      </c>
      <c r="H2" s="58">
        <v>36708.0</v>
      </c>
      <c r="I2" s="58">
        <v>36739.0</v>
      </c>
      <c r="J2" s="58">
        <v>36770.0</v>
      </c>
      <c r="K2" s="58">
        <v>36800.0</v>
      </c>
      <c r="L2" s="58">
        <v>36831.0</v>
      </c>
      <c r="M2" s="58">
        <v>36861.0</v>
      </c>
      <c r="N2" s="59" t="s">
        <v>143</v>
      </c>
      <c r="O2" s="60" t="s">
        <v>144</v>
      </c>
      <c r="P2" s="60"/>
    </row>
    <row r="3" ht="24.0" customHeight="1">
      <c r="A3" s="61"/>
      <c r="B3" s="62"/>
      <c r="C3" s="63" t="s">
        <v>145</v>
      </c>
      <c r="D3" s="64">
        <f t="shared" ref="D3:M3" si="1">sum(D4:D13)</f>
        <v>0</v>
      </c>
      <c r="E3" s="64">
        <f t="shared" si="1"/>
        <v>0</v>
      </c>
      <c r="F3" s="64">
        <f t="shared" si="1"/>
        <v>0</v>
      </c>
      <c r="G3" s="64">
        <f t="shared" si="1"/>
        <v>0</v>
      </c>
      <c r="H3" s="64">
        <f t="shared" si="1"/>
        <v>24000</v>
      </c>
      <c r="I3" s="64">
        <f t="shared" si="1"/>
        <v>0</v>
      </c>
      <c r="J3" s="64">
        <f t="shared" si="1"/>
        <v>0</v>
      </c>
      <c r="K3" s="64">
        <f t="shared" si="1"/>
        <v>0</v>
      </c>
      <c r="L3" s="64">
        <f t="shared" si="1"/>
        <v>0</v>
      </c>
      <c r="M3" s="64">
        <f t="shared" si="1"/>
        <v>0</v>
      </c>
      <c r="N3" s="65">
        <f t="shared" ref="N3:N11" si="2">sum(D3:M3)</f>
        <v>24000</v>
      </c>
      <c r="O3" s="65">
        <f>iferror(average(D3:M3),"")</f>
        <v>2400</v>
      </c>
      <c r="P3" s="66"/>
    </row>
    <row r="4" ht="19.5" customHeight="1" outlineLevel="1">
      <c r="A4" s="67"/>
      <c r="B4" s="68"/>
      <c r="C4" s="69" t="s">
        <v>146</v>
      </c>
      <c r="D4" s="70"/>
      <c r="E4" s="70"/>
      <c r="F4" s="70"/>
      <c r="G4" s="70"/>
      <c r="H4" s="70">
        <v>15800.0</v>
      </c>
      <c r="J4" s="70"/>
      <c r="K4" s="70"/>
      <c r="L4" s="70"/>
      <c r="M4" s="70"/>
      <c r="N4" s="71">
        <f t="shared" si="2"/>
        <v>15800</v>
      </c>
      <c r="O4" s="71">
        <f t="shared" ref="O4:O11" si="3">iferror(average(D4:M4),0)</f>
        <v>15800</v>
      </c>
      <c r="P4" s="72"/>
    </row>
    <row r="5" ht="19.5" customHeight="1" outlineLevel="1">
      <c r="A5" s="73"/>
      <c r="B5" s="74"/>
      <c r="C5" s="69" t="s">
        <v>147</v>
      </c>
      <c r="D5" s="70"/>
      <c r="E5" s="70"/>
      <c r="F5" s="70"/>
      <c r="G5" s="70"/>
      <c r="H5" s="70">
        <v>3700.0</v>
      </c>
      <c r="J5" s="70"/>
      <c r="K5" s="70"/>
      <c r="L5" s="70"/>
      <c r="M5" s="70"/>
      <c r="N5" s="71">
        <f t="shared" si="2"/>
        <v>3700</v>
      </c>
      <c r="O5" s="71">
        <f t="shared" si="3"/>
        <v>3700</v>
      </c>
      <c r="P5" s="72"/>
    </row>
    <row r="6" ht="19.5" customHeight="1" outlineLevel="1">
      <c r="A6" s="73"/>
      <c r="B6" s="74"/>
      <c r="C6" s="69" t="s">
        <v>148</v>
      </c>
      <c r="D6" s="70"/>
      <c r="E6" s="70"/>
      <c r="F6" s="70"/>
      <c r="G6" s="70"/>
      <c r="H6" s="70">
        <v>1500.0</v>
      </c>
      <c r="J6" s="70"/>
      <c r="K6" s="70"/>
      <c r="L6" s="70"/>
      <c r="M6" s="70"/>
      <c r="N6" s="71">
        <f t="shared" si="2"/>
        <v>1500</v>
      </c>
      <c r="O6" s="71">
        <f t="shared" si="3"/>
        <v>1500</v>
      </c>
      <c r="P6" s="72"/>
    </row>
    <row r="7" ht="19.5" customHeight="1" outlineLevel="1">
      <c r="A7" s="73"/>
      <c r="B7" s="74"/>
      <c r="C7" s="69" t="s">
        <v>149</v>
      </c>
      <c r="D7" s="70"/>
      <c r="E7" s="70"/>
      <c r="F7" s="70"/>
      <c r="G7" s="70"/>
      <c r="H7" s="70">
        <v>3000.0</v>
      </c>
      <c r="J7" s="70"/>
      <c r="K7" s="70"/>
      <c r="L7" s="70"/>
      <c r="M7" s="70"/>
      <c r="N7" s="71">
        <f t="shared" si="2"/>
        <v>3000</v>
      </c>
      <c r="O7" s="71">
        <f t="shared" si="3"/>
        <v>3000</v>
      </c>
      <c r="P7" s="72"/>
    </row>
    <row r="8" ht="19.5" customHeight="1" outlineLevel="1">
      <c r="A8" s="73"/>
      <c r="B8" s="74"/>
      <c r="C8" s="69" t="s">
        <v>150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1">
        <f t="shared" si="2"/>
        <v>0</v>
      </c>
      <c r="O8" s="71">
        <f t="shared" si="3"/>
        <v>0</v>
      </c>
      <c r="P8" s="72"/>
    </row>
    <row r="9" ht="19.5" customHeight="1" outlineLevel="1">
      <c r="A9" s="73"/>
      <c r="B9" s="74"/>
      <c r="C9" s="69" t="s">
        <v>151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1">
        <f t="shared" si="2"/>
        <v>0</v>
      </c>
      <c r="O9" s="71">
        <f t="shared" si="3"/>
        <v>0</v>
      </c>
      <c r="P9" s="72"/>
    </row>
    <row r="10" ht="19.5" customHeight="1" outlineLevel="1">
      <c r="A10" s="73"/>
      <c r="B10" s="74"/>
      <c r="C10" s="69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1">
        <f t="shared" si="2"/>
        <v>0</v>
      </c>
      <c r="O10" s="71">
        <f t="shared" si="3"/>
        <v>0</v>
      </c>
      <c r="P10" s="72"/>
    </row>
    <row r="11" ht="19.5" customHeight="1" outlineLevel="1">
      <c r="A11" s="73"/>
      <c r="B11" s="74"/>
      <c r="C11" s="69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1">
        <f t="shared" si="2"/>
        <v>0</v>
      </c>
      <c r="O11" s="71">
        <f t="shared" si="3"/>
        <v>0</v>
      </c>
      <c r="P11" s="72"/>
    </row>
    <row r="12" ht="19.5" customHeight="1">
      <c r="A12" s="73"/>
      <c r="B12" s="74"/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1"/>
      <c r="O12" s="71"/>
      <c r="P12" s="72"/>
    </row>
    <row r="13" ht="19.5" hidden="1" customHeight="1">
      <c r="A13" s="73"/>
      <c r="B13" s="74"/>
      <c r="C13" s="69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5"/>
      <c r="O13" s="75"/>
      <c r="P13" s="72"/>
    </row>
    <row r="14" ht="24.0" customHeight="1">
      <c r="A14" s="61"/>
      <c r="B14" s="62"/>
      <c r="C14" s="63" t="s">
        <v>152</v>
      </c>
      <c r="D14" s="64">
        <f t="shared" ref="D14:M14" si="4">sum(D15:D22)</f>
        <v>3600</v>
      </c>
      <c r="E14" s="64">
        <f t="shared" si="4"/>
        <v>7000</v>
      </c>
      <c r="F14" s="64">
        <f t="shared" si="4"/>
        <v>13400</v>
      </c>
      <c r="G14" s="64">
        <f t="shared" si="4"/>
        <v>10400</v>
      </c>
      <c r="H14" s="64">
        <f t="shared" si="4"/>
        <v>10400</v>
      </c>
      <c r="I14" s="64">
        <f t="shared" si="4"/>
        <v>10400</v>
      </c>
      <c r="J14" s="64">
        <f t="shared" si="4"/>
        <v>0</v>
      </c>
      <c r="K14" s="64">
        <f t="shared" si="4"/>
        <v>0</v>
      </c>
      <c r="L14" s="64">
        <f t="shared" si="4"/>
        <v>0</v>
      </c>
      <c r="M14" s="64">
        <f t="shared" si="4"/>
        <v>0</v>
      </c>
      <c r="N14" s="65">
        <f t="shared" ref="N14:N20" si="5">sum(D14:M14)</f>
        <v>55200</v>
      </c>
      <c r="O14" s="65">
        <f>iferror(average(D14:M14),"")</f>
        <v>5520</v>
      </c>
      <c r="P14" s="66"/>
    </row>
    <row r="15" ht="19.5" customHeight="1" outlineLevel="1">
      <c r="A15" s="67"/>
      <c r="B15" s="68"/>
      <c r="C15" s="69" t="s">
        <v>153</v>
      </c>
      <c r="D15" s="70">
        <v>600.0</v>
      </c>
      <c r="E15" s="70">
        <v>600.0</v>
      </c>
      <c r="F15" s="70">
        <v>1200.0</v>
      </c>
      <c r="G15" s="70">
        <v>1200.0</v>
      </c>
      <c r="H15" s="70">
        <v>1200.0</v>
      </c>
      <c r="I15" s="70">
        <v>1200.0</v>
      </c>
      <c r="J15" s="70"/>
      <c r="K15" s="70"/>
      <c r="L15" s="70"/>
      <c r="M15" s="70"/>
      <c r="N15" s="71">
        <f t="shared" si="5"/>
        <v>6000</v>
      </c>
      <c r="O15" s="71">
        <f t="shared" ref="O15:O20" si="6">iferror(average(D15:M15),0)</f>
        <v>1000</v>
      </c>
      <c r="P15" s="72"/>
    </row>
    <row r="16" ht="19.5" customHeight="1" outlineLevel="1">
      <c r="A16" s="67"/>
      <c r="B16" s="68"/>
      <c r="C16" s="69" t="s">
        <v>154</v>
      </c>
      <c r="D16" s="70"/>
      <c r="E16" s="70">
        <v>0.0</v>
      </c>
      <c r="F16" s="70">
        <v>2900.0</v>
      </c>
      <c r="G16" s="70">
        <v>2900.0</v>
      </c>
      <c r="H16" s="70">
        <v>2900.0</v>
      </c>
      <c r="I16" s="70">
        <v>2900.0</v>
      </c>
      <c r="J16" s="70"/>
      <c r="K16" s="70"/>
      <c r="L16" s="70"/>
      <c r="M16" s="70"/>
      <c r="N16" s="71">
        <f t="shared" si="5"/>
        <v>11600</v>
      </c>
      <c r="O16" s="71">
        <f t="shared" si="6"/>
        <v>2320</v>
      </c>
      <c r="P16" s="72"/>
    </row>
    <row r="17" ht="19.5" customHeight="1" outlineLevel="1">
      <c r="A17" s="67"/>
      <c r="B17" s="68"/>
      <c r="C17" s="69" t="s">
        <v>155</v>
      </c>
      <c r="D17" s="70"/>
      <c r="E17" s="70">
        <v>0.0</v>
      </c>
      <c r="F17" s="70">
        <v>2900.0</v>
      </c>
      <c r="G17" s="70">
        <v>2900.0</v>
      </c>
      <c r="H17" s="70">
        <v>2900.0</v>
      </c>
      <c r="I17" s="70">
        <v>2900.0</v>
      </c>
      <c r="J17" s="70"/>
      <c r="K17" s="70"/>
      <c r="L17" s="70"/>
      <c r="M17" s="70"/>
      <c r="N17" s="71">
        <f t="shared" si="5"/>
        <v>11600</v>
      </c>
      <c r="O17" s="71">
        <f t="shared" si="6"/>
        <v>2320</v>
      </c>
      <c r="P17" s="72"/>
    </row>
    <row r="18" ht="19.5" customHeight="1" outlineLevel="1">
      <c r="A18" s="67"/>
      <c r="B18" s="68"/>
      <c r="C18" s="69" t="s">
        <v>156</v>
      </c>
      <c r="D18" s="70">
        <v>3000.0</v>
      </c>
      <c r="E18" s="70">
        <v>3000.0</v>
      </c>
      <c r="F18" s="70">
        <v>3000.0</v>
      </c>
      <c r="G18" s="70">
        <v>0.0</v>
      </c>
      <c r="H18" s="70">
        <v>0.0</v>
      </c>
      <c r="I18" s="70">
        <v>0.0</v>
      </c>
      <c r="J18" s="70"/>
      <c r="K18" s="70"/>
      <c r="L18" s="70"/>
      <c r="M18" s="70"/>
      <c r="N18" s="71">
        <f t="shared" si="5"/>
        <v>9000</v>
      </c>
      <c r="O18" s="71">
        <f t="shared" si="6"/>
        <v>1500</v>
      </c>
      <c r="P18" s="72"/>
    </row>
    <row r="19" ht="19.5" customHeight="1" outlineLevel="1">
      <c r="A19" s="67"/>
      <c r="B19" s="68"/>
      <c r="C19" s="69" t="s">
        <v>157</v>
      </c>
      <c r="D19" s="70"/>
      <c r="E19" s="70">
        <v>3400.0</v>
      </c>
      <c r="F19" s="70">
        <v>3400.0</v>
      </c>
      <c r="G19" s="70">
        <v>3400.0</v>
      </c>
      <c r="H19" s="70">
        <v>3400.0</v>
      </c>
      <c r="I19" s="70">
        <v>3400.0</v>
      </c>
      <c r="J19" s="70"/>
      <c r="K19" s="70"/>
      <c r="L19" s="70"/>
      <c r="M19" s="70"/>
      <c r="N19" s="71">
        <f t="shared" si="5"/>
        <v>17000</v>
      </c>
      <c r="O19" s="71">
        <f t="shared" si="6"/>
        <v>3400</v>
      </c>
      <c r="P19" s="72"/>
    </row>
    <row r="20" ht="19.5" customHeight="1" outlineLevel="1">
      <c r="A20" s="67"/>
      <c r="B20" s="68"/>
      <c r="C20" s="69"/>
      <c r="D20" s="70"/>
      <c r="E20" s="70"/>
      <c r="F20" s="70"/>
      <c r="G20" s="70"/>
      <c r="H20" s="76"/>
      <c r="I20" s="76"/>
      <c r="J20" s="70"/>
      <c r="K20" s="70"/>
      <c r="L20" s="70"/>
      <c r="M20" s="70"/>
      <c r="N20" s="71">
        <f t="shared" si="5"/>
        <v>0</v>
      </c>
      <c r="O20" s="71">
        <f t="shared" si="6"/>
        <v>0</v>
      </c>
      <c r="P20" s="72"/>
    </row>
    <row r="21" ht="19.5" customHeight="1">
      <c r="A21" s="67"/>
      <c r="B21" s="68"/>
      <c r="C21" s="77"/>
      <c r="D21" s="70"/>
      <c r="E21" s="70"/>
      <c r="F21" s="70"/>
      <c r="G21" s="70"/>
      <c r="H21" s="76"/>
      <c r="I21" s="76"/>
      <c r="J21" s="70"/>
      <c r="K21" s="70"/>
      <c r="L21" s="70"/>
      <c r="M21" s="70"/>
      <c r="N21" s="71"/>
      <c r="O21" s="71"/>
      <c r="P21" s="72"/>
    </row>
    <row r="22" ht="19.5" hidden="1" customHeight="1">
      <c r="A22" s="73"/>
      <c r="B22" s="74"/>
      <c r="C22" s="77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5"/>
      <c r="O22" s="75"/>
      <c r="P22" s="72"/>
    </row>
    <row r="23" ht="24.0" customHeight="1">
      <c r="A23" s="67"/>
      <c r="B23" s="68"/>
      <c r="C23" s="78"/>
      <c r="D23" s="79"/>
      <c r="E23" s="79"/>
      <c r="F23" s="79"/>
      <c r="G23" s="79"/>
      <c r="H23" s="80"/>
      <c r="I23" s="80"/>
      <c r="J23" s="79"/>
      <c r="K23" s="79"/>
      <c r="L23" s="79"/>
      <c r="M23" s="81" t="s">
        <v>158</v>
      </c>
      <c r="N23" s="82">
        <f>N3+N14</f>
        <v>79200</v>
      </c>
      <c r="O23" s="83"/>
      <c r="P23" s="72"/>
    </row>
    <row r="24" ht="19.5" hidden="1" customHeight="1">
      <c r="A24" s="84"/>
      <c r="B24" s="85"/>
      <c r="C24" s="86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8"/>
      <c r="O24" s="88"/>
      <c r="P24" s="72"/>
    </row>
    <row r="25" ht="19.5" customHeight="1">
      <c r="A25" s="89"/>
      <c r="B25" s="89"/>
      <c r="C25" s="86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8"/>
      <c r="O25" s="88"/>
      <c r="P25" s="8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0"/>
  </cols>
  <sheetData>
    <row r="2">
      <c r="B2" s="90" t="s">
        <v>159</v>
      </c>
      <c r="J2" s="50" t="s">
        <v>55</v>
      </c>
    </row>
    <row r="3">
      <c r="B3" s="91"/>
      <c r="J3" s="50" t="s">
        <v>160</v>
      </c>
    </row>
    <row r="4">
      <c r="B4" s="91" t="s">
        <v>161</v>
      </c>
      <c r="J4" s="50" t="s">
        <v>162</v>
      </c>
    </row>
    <row r="5">
      <c r="B5" s="91" t="s">
        <v>163</v>
      </c>
    </row>
    <row r="6">
      <c r="B6" s="91" t="s">
        <v>164</v>
      </c>
    </row>
    <row r="7">
      <c r="B7" s="91"/>
    </row>
    <row r="8">
      <c r="B8" s="91" t="s">
        <v>165</v>
      </c>
      <c r="C8" s="92" t="s">
        <v>166</v>
      </c>
    </row>
    <row r="9">
      <c r="B9" s="91" t="s">
        <v>167</v>
      </c>
      <c r="C9" s="91" t="s">
        <v>168</v>
      </c>
    </row>
    <row r="11">
      <c r="G11" s="93" t="s">
        <v>169</v>
      </c>
    </row>
    <row r="12">
      <c r="B12" s="50" t="s">
        <v>170</v>
      </c>
      <c r="G12" s="94" t="s">
        <v>171</v>
      </c>
    </row>
    <row r="13">
      <c r="B13" s="50" t="s">
        <v>172</v>
      </c>
      <c r="G13" s="94" t="s">
        <v>173</v>
      </c>
    </row>
    <row r="14">
      <c r="B14" s="50" t="s">
        <v>174</v>
      </c>
      <c r="G14" s="94" t="s">
        <v>175</v>
      </c>
    </row>
    <row r="15">
      <c r="B15" s="50" t="s">
        <v>176</v>
      </c>
      <c r="G15" s="95"/>
    </row>
    <row r="16">
      <c r="B16" s="50" t="s">
        <v>177</v>
      </c>
      <c r="G16" s="94" t="s">
        <v>178</v>
      </c>
    </row>
    <row r="17">
      <c r="B17" s="50" t="s">
        <v>179</v>
      </c>
      <c r="G17" s="94" t="s">
        <v>180</v>
      </c>
    </row>
    <row r="18">
      <c r="B18" s="50" t="s">
        <v>181</v>
      </c>
      <c r="G18" s="94" t="s">
        <v>182</v>
      </c>
    </row>
    <row r="19">
      <c r="B19" s="50" t="s">
        <v>183</v>
      </c>
      <c r="C19" s="96" t="s">
        <v>184</v>
      </c>
      <c r="G19" s="95"/>
    </row>
    <row r="20">
      <c r="B20" s="50" t="s">
        <v>185</v>
      </c>
      <c r="C20" s="96" t="s">
        <v>186</v>
      </c>
      <c r="G20" s="94" t="s">
        <v>187</v>
      </c>
    </row>
    <row r="21">
      <c r="B21" s="50" t="s">
        <v>188</v>
      </c>
      <c r="C21" s="96" t="s">
        <v>189</v>
      </c>
      <c r="G21" s="94" t="s">
        <v>190</v>
      </c>
    </row>
    <row r="22">
      <c r="B22" s="50" t="s">
        <v>191</v>
      </c>
      <c r="G22" s="94" t="s">
        <v>192</v>
      </c>
    </row>
    <row r="23">
      <c r="B23" s="50" t="s">
        <v>159</v>
      </c>
    </row>
    <row r="24">
      <c r="G24" s="50" t="s">
        <v>193</v>
      </c>
    </row>
    <row r="25">
      <c r="G25" s="50" t="s">
        <v>194</v>
      </c>
    </row>
    <row r="26">
      <c r="G26" s="50" t="s">
        <v>195</v>
      </c>
    </row>
    <row r="27">
      <c r="G27" s="50" t="s">
        <v>196</v>
      </c>
    </row>
    <row r="29">
      <c r="G29" s="50" t="s">
        <v>197</v>
      </c>
    </row>
    <row r="30">
      <c r="G30" s="50" t="s">
        <v>198</v>
      </c>
    </row>
    <row r="31">
      <c r="G31" s="50" t="s">
        <v>199</v>
      </c>
    </row>
    <row r="32">
      <c r="G32" s="50" t="s">
        <v>200</v>
      </c>
    </row>
    <row r="33">
      <c r="G33" s="50" t="s">
        <v>201</v>
      </c>
    </row>
    <row r="34">
      <c r="G34" s="50" t="s">
        <v>202</v>
      </c>
    </row>
    <row r="36">
      <c r="G36" s="50" t="s">
        <v>203</v>
      </c>
    </row>
    <row r="37">
      <c r="G37" s="50" t="s">
        <v>204</v>
      </c>
    </row>
    <row r="38">
      <c r="G38" s="50" t="s">
        <v>205</v>
      </c>
    </row>
    <row r="40">
      <c r="G40" s="50" t="s">
        <v>206</v>
      </c>
    </row>
    <row r="41">
      <c r="G41" s="50" t="s">
        <v>207</v>
      </c>
    </row>
    <row r="42">
      <c r="G42" s="50" t="s">
        <v>208</v>
      </c>
    </row>
    <row r="43">
      <c r="G43" s="50" t="s">
        <v>209</v>
      </c>
    </row>
    <row r="44">
      <c r="G44" s="50" t="s">
        <v>210</v>
      </c>
    </row>
    <row r="46">
      <c r="G46" s="50" t="s">
        <v>211</v>
      </c>
    </row>
    <row r="47">
      <c r="G47" s="50" t="s">
        <v>212</v>
      </c>
    </row>
    <row r="48">
      <c r="G48" s="50" t="s">
        <v>213</v>
      </c>
    </row>
    <row r="49">
      <c r="G49" s="50" t="s">
        <v>214</v>
      </c>
    </row>
    <row r="50">
      <c r="G50" s="50" t="s">
        <v>215</v>
      </c>
    </row>
    <row r="52">
      <c r="G52" s="50" t="s">
        <v>216</v>
      </c>
    </row>
    <row r="53">
      <c r="G53" s="50" t="s">
        <v>217</v>
      </c>
    </row>
    <row r="54">
      <c r="G54" s="50" t="s">
        <v>218</v>
      </c>
    </row>
    <row r="55">
      <c r="G55" s="50" t="s">
        <v>219</v>
      </c>
    </row>
  </sheetData>
  <hyperlinks>
    <hyperlink r:id="rId1" ref="C8"/>
    <hyperlink r:id="rId2" ref="C19"/>
    <hyperlink r:id="rId3" ref="C20"/>
    <hyperlink r:id="rId4" ref="C21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</cols>
  <sheetData>
    <row r="2">
      <c r="B2" s="50" t="s">
        <v>220</v>
      </c>
      <c r="C2" s="50" t="s">
        <v>221</v>
      </c>
    </row>
    <row r="3">
      <c r="B3" s="50" t="s">
        <v>222</v>
      </c>
      <c r="C3" s="50" t="s">
        <v>223</v>
      </c>
    </row>
    <row r="4">
      <c r="B4" s="50" t="s">
        <v>224</v>
      </c>
      <c r="C4" s="50" t="s">
        <v>225</v>
      </c>
    </row>
    <row r="5">
      <c r="B5" s="50" t="s">
        <v>226</v>
      </c>
      <c r="C5" s="50" t="s">
        <v>227</v>
      </c>
    </row>
    <row r="6">
      <c r="B6" s="50" t="s">
        <v>228</v>
      </c>
      <c r="C6" s="50" t="s">
        <v>229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2.71"/>
    <col customWidth="1" min="3" max="3" width="15.86"/>
    <col customWidth="1" min="4" max="4" width="53.43"/>
  </cols>
  <sheetData>
    <row r="2">
      <c r="B2" s="50" t="s">
        <v>230</v>
      </c>
      <c r="C2" s="97">
        <v>46070.0</v>
      </c>
      <c r="D2" s="50" t="s">
        <v>231</v>
      </c>
    </row>
    <row r="3">
      <c r="B3" s="50" t="s">
        <v>232</v>
      </c>
      <c r="C3" s="97">
        <v>46058.0</v>
      </c>
      <c r="D3" s="50" t="s">
        <v>233</v>
      </c>
    </row>
    <row r="4">
      <c r="B4" s="50" t="s">
        <v>234</v>
      </c>
      <c r="C4" s="97">
        <v>45985.0</v>
      </c>
      <c r="D4" s="50" t="s">
        <v>235</v>
      </c>
    </row>
    <row r="5">
      <c r="B5" s="50" t="s">
        <v>236</v>
      </c>
      <c r="C5" s="97">
        <v>45929.0</v>
      </c>
      <c r="D5" s="50" t="s">
        <v>237</v>
      </c>
    </row>
    <row r="6">
      <c r="B6" s="50" t="s">
        <v>238</v>
      </c>
      <c r="C6" s="97">
        <v>45874.0</v>
      </c>
      <c r="D6" s="50" t="s">
        <v>239</v>
      </c>
    </row>
    <row r="7">
      <c r="B7" s="50" t="s">
        <v>240</v>
      </c>
      <c r="C7" s="97">
        <v>45799.0</v>
      </c>
      <c r="D7" s="50" t="s">
        <v>241</v>
      </c>
    </row>
  </sheetData>
  <drawing r:id="rId1"/>
</worksheet>
</file>